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glosparkle/Downloads/"/>
    </mc:Choice>
  </mc:AlternateContent>
  <xr:revisionPtr revIDLastSave="0" documentId="13_ncr:1_{D7EFCAB0-6033-E640-8CAA-A0B0E2CEFD6D}" xr6:coauthVersionLast="47" xr6:coauthVersionMax="47" xr10:uidLastSave="{00000000-0000-0000-0000-000000000000}"/>
  <bookViews>
    <workbookView xWindow="7860" yWindow="600" windowWidth="60940" windowHeight="28200" xr2:uid="{28DEE7BD-799E-4DEB-8A39-A57E256E1045}"/>
  </bookViews>
  <sheets>
    <sheet name="Communication Timeline v2" sheetId="6" r:id="rId1"/>
    <sheet name="Portflio" sheetId="8" r:id="rId2"/>
    <sheet name="Communication Timeline v1" sheetId="3" state="hidden" r:id="rId3"/>
    <sheet name="staging" sheetId="1" state="hidden" r:id="rId4"/>
    <sheet name="Corrected dept names" sheetId="2" state="hidden" r:id="rId5"/>
    <sheet name="Dept &amp; Cnt" sheetId="4" r:id="rId6"/>
    <sheet name="Quarterly Rollout" sheetId="5" state="hidden" r:id="rId7"/>
  </sheets>
  <definedNames>
    <definedName name="_xlnm._FilterDatabase" localSheetId="5" hidden="1">'Dept &amp; Cnt'!$A$1:$D$41</definedName>
  </definedNames>
  <calcPr calcId="191028"/>
  <pivotCaches>
    <pivotCache cacheId="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6" l="1"/>
  <c r="F2" i="6"/>
  <c r="F3" i="6"/>
  <c r="F4" i="6"/>
  <c r="F5" i="6"/>
  <c r="F6" i="6"/>
  <c r="F7" i="6"/>
  <c r="F8" i="6"/>
  <c r="F9"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F2" i="3"/>
  <c r="F3" i="3"/>
  <c r="F4" i="3"/>
  <c r="F41" i="3"/>
  <c r="F11" i="3"/>
  <c r="F5" i="3"/>
  <c r="F6" i="3"/>
  <c r="F19" i="3"/>
  <c r="F13" i="3"/>
  <c r="F14" i="3"/>
  <c r="F7" i="3"/>
  <c r="F15" i="3"/>
  <c r="F20" i="3"/>
  <c r="F8" i="3"/>
  <c r="F9" i="3"/>
  <c r="F10" i="3"/>
  <c r="F16" i="3"/>
  <c r="F17" i="3"/>
  <c r="F18" i="3"/>
  <c r="F21" i="3"/>
  <c r="F12" i="3"/>
  <c r="F25" i="3"/>
  <c r="F22" i="3"/>
  <c r="F26" i="3"/>
  <c r="F28" i="3"/>
  <c r="F29" i="3"/>
  <c r="F27" i="3"/>
  <c r="F23" i="3"/>
  <c r="F24" i="3"/>
  <c r="F30" i="3"/>
  <c r="F31" i="3"/>
  <c r="F32" i="3"/>
  <c r="F33" i="3"/>
  <c r="F34" i="3"/>
  <c r="F35" i="3"/>
  <c r="F37" i="3"/>
  <c r="F40" i="3"/>
  <c r="F38" i="3"/>
  <c r="F39" i="3"/>
  <c r="F36" i="3"/>
  <c r="L8" i="4"/>
  <c r="L9" i="4"/>
  <c r="K9" i="4"/>
  <c r="I9" i="4"/>
  <c r="J8" i="4"/>
  <c r="J9" i="4" s="1"/>
  <c r="K8" i="4" s="1"/>
</calcChain>
</file>

<file path=xl/sharedStrings.xml><?xml version="1.0" encoding="utf-8"?>
<sst xmlns="http://schemas.openxmlformats.org/spreadsheetml/2006/main" count="1159" uniqueCount="552">
  <si>
    <t>Dept</t>
  </si>
  <si>
    <t>Full Department Name</t>
  </si>
  <si>
    <t>Portfolio</t>
  </si>
  <si>
    <t>Count</t>
  </si>
  <si>
    <t>qtr</t>
  </si>
  <si>
    <t>Rollout Date</t>
  </si>
  <si>
    <t>Day of Wk</t>
  </si>
  <si>
    <t>UserList to ID</t>
  </si>
  <si>
    <t>Comm Steward</t>
  </si>
  <si>
    <t>Comm Steward Email</t>
  </si>
  <si>
    <t>Bldg</t>
  </si>
  <si>
    <t>3mo Dept Head Meeting</t>
  </si>
  <si>
    <t>2mo CommPkg</t>
  </si>
  <si>
    <t>1mo 2nd email followup</t>
  </si>
  <si>
    <t>1mo TownHall Meeting Notice</t>
  </si>
  <si>
    <t>3wk 1st TowmHall Meeting</t>
  </si>
  <si>
    <t>1wk 3rd email followup</t>
  </si>
  <si>
    <t>1wk 2nd TownHall Meeting</t>
  </si>
  <si>
    <t>1day NextDay Reminder Followup</t>
  </si>
  <si>
    <t>3wk PostRollout phycal Badge TurnIn Reminder</t>
  </si>
  <si>
    <t>Note</t>
  </si>
  <si>
    <t>ICS</t>
  </si>
  <si>
    <t>Information and Communication Systems</t>
  </si>
  <si>
    <t>Information &amp; Communication Services</t>
  </si>
  <si>
    <t>Jeffrey Herbert</t>
  </si>
  <si>
    <t>Jeff.Herbert@ChurchofJesusChrist.org</t>
  </si>
  <si>
    <t>Riverton Office Building</t>
  </si>
  <si>
    <t>.</t>
  </si>
  <si>
    <t>CSD</t>
  </si>
  <si>
    <t>Church Security Department</t>
  </si>
  <si>
    <t>Facilities Management</t>
  </si>
  <si>
    <t>Janette Watts</t>
  </si>
  <si>
    <t>Janette.Watts@ChurchofJesusChrist.org</t>
  </si>
  <si>
    <t>Church Administration Building</t>
  </si>
  <si>
    <t>HQF</t>
  </si>
  <si>
    <t>Headquarters Facilities Department</t>
  </si>
  <si>
    <t>Kristi Ann Nye</t>
  </si>
  <si>
    <t>Kristi.Nye@ChurchofJesusChrist.org</t>
  </si>
  <si>
    <t>Church Office Building</t>
  </si>
  <si>
    <t>AUD</t>
  </si>
  <si>
    <t>Church Auditing Department</t>
  </si>
  <si>
    <t>Finance / Human Resources</t>
  </si>
  <si>
    <t>Nicole Berry</t>
  </si>
  <si>
    <t>Nicole.Berry@churchofjesuschrist.org</t>
  </si>
  <si>
    <t>Quorum Offices</t>
  </si>
  <si>
    <t>CHD</t>
  </si>
  <si>
    <t>Church History Department</t>
  </si>
  <si>
    <t>Church History / Welfare Self-Reliance</t>
  </si>
  <si>
    <t>Jenda Nye</t>
  </si>
  <si>
    <t>Jenda.Nye@churchofjesuschrist.org</t>
  </si>
  <si>
    <t>Church History Library</t>
  </si>
  <si>
    <t>MIS</t>
  </si>
  <si>
    <t>Missionary Department</t>
  </si>
  <si>
    <t>Missionary Work</t>
  </si>
  <si>
    <t>Lauren Major</t>
  </si>
  <si>
    <t>laurenmajor@ChurchofJesusChrist.org</t>
  </si>
  <si>
    <t>PBA</t>
  </si>
  <si>
    <t>Presiding Bishopric Administration</t>
  </si>
  <si>
    <t>PBO1@ChurchofJesusChrist.org</t>
  </si>
  <si>
    <t>PBI</t>
  </si>
  <si>
    <t>PBO International Assignment (PBO = Area Offices)</t>
  </si>
  <si>
    <t>PBO</t>
  </si>
  <si>
    <t>Presiding Bishopric OFFICE</t>
  </si>
  <si>
    <t>TBC</t>
  </si>
  <si>
    <t>Tabernacle Choir</t>
  </si>
  <si>
    <t>Communication &amp; Publishing Technology</t>
  </si>
  <si>
    <t>Kelly Taylor</t>
  </si>
  <si>
    <t>Kelly.Taylor@tabchoir.org</t>
  </si>
  <si>
    <t>Tabernacle</t>
  </si>
  <si>
    <t>TPL</t>
  </si>
  <si>
    <t>Temple Department</t>
  </si>
  <si>
    <t>Temple</t>
  </si>
  <si>
    <t>Natalie Dahl</t>
  </si>
  <si>
    <t>Natalie.Dahl@churchofjesuschrist.org</t>
  </si>
  <si>
    <t>DTC</t>
  </si>
  <si>
    <t>Deseret Trust Company</t>
  </si>
  <si>
    <t>Karin Hardy</t>
  </si>
  <si>
    <t>Karin.Hardy@deserettrust.com</t>
  </si>
  <si>
    <t>Deseret Trust Company (DTC)</t>
  </si>
  <si>
    <t>GSD</t>
  </si>
  <si>
    <t>Global Services Department</t>
  </si>
  <si>
    <t>Global Service Department</t>
  </si>
  <si>
    <t>Emily Smith</t>
  </si>
  <si>
    <t>EmilySmith@churchofjesuschrist.org</t>
  </si>
  <si>
    <t>OFP</t>
  </si>
  <si>
    <t>Office of the First Presidency</t>
  </si>
  <si>
    <t>QSV</t>
  </si>
  <si>
    <t>Quorum of the Seventy</t>
  </si>
  <si>
    <t>QTW</t>
  </si>
  <si>
    <t>Quorum of the Twelve</t>
  </si>
  <si>
    <t>SAI</t>
  </si>
  <si>
    <t>Seminaries and Institutes</t>
  </si>
  <si>
    <t>Global Education</t>
  </si>
  <si>
    <t>Andrea Neville Hellewell</t>
  </si>
  <si>
    <t>Andrea.Hellewell@churchofjesuschrist.org</t>
  </si>
  <si>
    <t>DTA</t>
  </si>
  <si>
    <t>Directors for Temporal Affairs</t>
  </si>
  <si>
    <t>Kristy Gates</t>
  </si>
  <si>
    <t>Kristy.Gates@ChurchofJesusChrist.org</t>
  </si>
  <si>
    <t>OGC</t>
  </si>
  <si>
    <t>Office of General Counsel</t>
  </si>
  <si>
    <t>Lise Fahn Bennett</t>
  </si>
  <si>
    <t>Lise.Bennett@ChurchofJesusChrist.org</t>
  </si>
  <si>
    <t>SPD</t>
  </si>
  <si>
    <t>Special Projects Department</t>
  </si>
  <si>
    <t>Shana Christensen</t>
  </si>
  <si>
    <t>christensens@ChurchofJesusChrist.org</t>
  </si>
  <si>
    <t>COR</t>
  </si>
  <si>
    <t>Correlation Department</t>
  </si>
  <si>
    <t>Correlation / Priesthood</t>
  </si>
  <si>
    <t>Edward S. Watson</t>
  </si>
  <si>
    <t>WatsonES@churchofjesuschrist.org</t>
  </si>
  <si>
    <t>MMD</t>
  </si>
  <si>
    <t>Materials Management Department</t>
  </si>
  <si>
    <t>Jeffrey Tucker</t>
  </si>
  <si>
    <t>jeff.tucker@ChurchofJesusChrist.org</t>
  </si>
  <si>
    <t>PSD</t>
  </si>
  <si>
    <t>Publishing Services Department</t>
  </si>
  <si>
    <t>Trina Smith Choules</t>
  </si>
  <si>
    <t>Trina.Smith@ChurchofJesusChrist.org</t>
  </si>
  <si>
    <t>CES</t>
  </si>
  <si>
    <t>Church Educational System, Ensign College</t>
  </si>
  <si>
    <t>Church Educational System</t>
  </si>
  <si>
    <t>FHD</t>
  </si>
  <si>
    <t>Family History Department</t>
  </si>
  <si>
    <t>Family History</t>
  </si>
  <si>
    <t>Kate Lencioni</t>
  </si>
  <si>
    <t>Kate.Lencioni@FamilySearch.org</t>
  </si>
  <si>
    <t>Lehi UT FamilySearch Facility</t>
  </si>
  <si>
    <t>MFD</t>
  </si>
  <si>
    <t>Meetinghouse Facilities Department</t>
  </si>
  <si>
    <t>Jared Bray</t>
  </si>
  <si>
    <t>Jared.Bray@ChurchofJesusChrist.org</t>
  </si>
  <si>
    <t>FRD</t>
  </si>
  <si>
    <t>Finance and Records Department</t>
  </si>
  <si>
    <t>Marilyn June Johnson</t>
  </si>
  <si>
    <t>MarilynJune.Johnson@ChurchofJesusChrist.org</t>
  </si>
  <si>
    <t>HRD</t>
  </si>
  <si>
    <t>Human Resource Department</t>
  </si>
  <si>
    <t>Jennifer Pond</t>
  </si>
  <si>
    <t>mycalling@ChurchofJesusChrist.org</t>
  </si>
  <si>
    <t>PTH</t>
  </si>
  <si>
    <t>Priesthood and Family Department</t>
  </si>
  <si>
    <t>Sharon Walton</t>
  </si>
  <si>
    <t>sharon.walton@ChurchofJesusChrist.org</t>
  </si>
  <si>
    <t>BPW</t>
  </si>
  <si>
    <t>BYU–Pathway Worldwide</t>
  </si>
  <si>
    <t>CCD</t>
  </si>
  <si>
    <t>Church Communication Department</t>
  </si>
  <si>
    <t>Sydney Anderson</t>
  </si>
  <si>
    <t>Sydney.Anderson@ChurchofJesusChrist.org</t>
  </si>
  <si>
    <t>Joseph Smith Memorial Building</t>
  </si>
  <si>
    <t>CCO</t>
  </si>
  <si>
    <t>Church Commissioners Office</t>
  </si>
  <si>
    <t>DFC</t>
  </si>
  <si>
    <t>Deseret Financial Corporation</t>
  </si>
  <si>
    <t>DMB</t>
  </si>
  <si>
    <t>Deseret Mutual Benefits Admin</t>
  </si>
  <si>
    <t>WSR</t>
  </si>
  <si>
    <t>Welfare and Self-Reliance Services</t>
  </si>
  <si>
    <t>Lyndi Petersen</t>
  </si>
  <si>
    <t>Lyndi.Petersen@ChurchofJesusChrist.org</t>
  </si>
  <si>
    <t>EPA</t>
  </si>
  <si>
    <t>Ensign Peak Advisors</t>
  </si>
  <si>
    <t>Stacey Leilani Green</t>
  </si>
  <si>
    <t>stacey.green@ensignpeak.org</t>
  </si>
  <si>
    <t>Ensign Peak Advisors (EPA)</t>
  </si>
  <si>
    <t>PRI</t>
  </si>
  <si>
    <t>Property Reserve Inc.</t>
  </si>
  <si>
    <t>Property Reserve</t>
  </si>
  <si>
    <t>TRF</t>
  </si>
  <si>
    <t>Thrasher Research Fund</t>
  </si>
  <si>
    <t>PHP</t>
  </si>
  <si>
    <t>Philanthropies Department</t>
  </si>
  <si>
    <t>Philanthropies</t>
  </si>
  <si>
    <t>Tom Denton</t>
  </si>
  <si>
    <t>tom.denton@ChurchofJesusChrist.org</t>
  </si>
  <si>
    <t>Provo UT LDS Philanthropies</t>
  </si>
  <si>
    <t>GAO</t>
  </si>
  <si>
    <t>General Authorities Office</t>
  </si>
  <si>
    <t>Portfolio Type</t>
  </si>
  <si>
    <t>Portfolio Director</t>
  </si>
  <si>
    <t>Departments Covered</t>
  </si>
  <si>
    <t>Partner</t>
  </si>
  <si>
    <t>Trent Williams</t>
  </si>
  <si>
    <t>Church History Department (CHD), Welfare &amp; Self-Reliance (WSR)</t>
  </si>
  <si>
    <t>Adam Lowry</t>
  </si>
  <si>
    <t>CCD, PSD</t>
  </si>
  <si>
    <t>Todd Anderson</t>
  </si>
  <si>
    <t>Correlation (COR), Priesthood (PTH)</t>
  </si>
  <si>
    <t>Enterprise Information Management (EIM)</t>
  </si>
  <si>
    <t>Partner + Technology</t>
  </si>
  <si>
    <t>Matt Jenson</t>
  </si>
  <si>
    <t>Business Intelligence (BI), Finance (FIN), Church History (CHD), Family History (FHD), Missionary (MIS), Facilities Management (FM), Welfare Self-Reliance Services (WSRS), Seminaries &amp; Institutes (S&amp;I), Global Education (GE), Human Resources (HR), Correlation (COR), Temple (TEM), Supply Chain (SC)</t>
  </si>
  <si>
    <t>Facilities Management (FM)</t>
  </si>
  <si>
    <t>Rob Cardon</t>
  </si>
  <si>
    <t>HQF, MFD, MMD</t>
  </si>
  <si>
    <t>Mark Ward</t>
  </si>
  <si>
    <t>FRD, HRD, AUD</t>
  </si>
  <si>
    <t>Jeromy Hall</t>
  </si>
  <si>
    <t>BYU-Pathway Worldwide,SAI</t>
  </si>
  <si>
    <t>Brent Harris</t>
  </si>
  <si>
    <t>Global Services Department (GSD)</t>
  </si>
  <si>
    <t>Member &amp; Statistical Records</t>
  </si>
  <si>
    <t>Chadwick Greenhalgh</t>
  </si>
  <si>
    <t>Member &amp; Statistical Records (MSR), CMIS Data</t>
  </si>
  <si>
    <t>Todd Steadman</t>
  </si>
  <si>
    <t>Missionary Department (MIS)</t>
  </si>
  <si>
    <t>OFP, QSV, QTW, PBA, PBI, PBO</t>
  </si>
  <si>
    <t>Seminaries &amp; Institutes</t>
  </si>
  <si>
    <t>Seminaries &amp; Institutes (S&amp;I)</t>
  </si>
  <si>
    <t>Supply Chain</t>
  </si>
  <si>
    <t>Eric Thompson</t>
  </si>
  <si>
    <t>Michael Green</t>
  </si>
  <si>
    <t>Trasher Research Fund</t>
  </si>
  <si>
    <t>Abbreviation</t>
  </si>
  <si>
    <t>ICS Solution Manager</t>
  </si>
  <si>
    <t>ICS Email</t>
  </si>
  <si>
    <t>PD Email</t>
  </si>
  <si>
    <t>Department Steward</t>
  </si>
  <si>
    <t>Department Email</t>
  </si>
  <si>
    <t>Brady Stevenson</t>
  </si>
  <si>
    <t>Auditing Department (CAD = Church Auditing Department)</t>
  </si>
  <si>
    <t>Church Communications Department</t>
  </si>
  <si>
    <t>Church Commissioner’s Office</t>
  </si>
  <si>
    <t>Communication Services Department</t>
  </si>
  <si>
    <t>Deseret Mutual Benefits</t>
  </si>
  <si>
    <t>Ken Smaellie</t>
  </si>
  <si>
    <t>Troy Martin</t>
  </si>
  <si>
    <t>Financial Reporting Department</t>
  </si>
  <si>
    <t>Brett Gallicher</t>
  </si>
  <si>
    <t>Headquarters Facilities</t>
  </si>
  <si>
    <t>Brent Blackwell</t>
  </si>
  <si>
    <t>Bryan Ferre</t>
  </si>
  <si>
    <t>Meetinghouse Materials Department</t>
  </si>
  <si>
    <t>Office of the Presiding Bishopric</t>
  </si>
  <si>
    <t>PRESIDING BISHOPRIC OFFICE</t>
  </si>
  <si>
    <t>Public Relations and Information</t>
  </si>
  <si>
    <t>Purchasing and Supply Department</t>
  </si>
  <si>
    <t>Physical Therapy and Health Services</t>
  </si>
  <si>
    <t>Quality and Safety Verification</t>
  </si>
  <si>
    <t>Quality and Technical Writing</t>
  </si>
  <si>
    <t>Seminary and Institute</t>
  </si>
  <si>
    <t>Blake Erickson</t>
  </si>
  <si>
    <t>Translation Department</t>
  </si>
  <si>
    <t>SharePointName</t>
  </si>
  <si>
    <t>Management</t>
  </si>
  <si>
    <t>Management Role</t>
  </si>
  <si>
    <t>Management Email</t>
  </si>
  <si>
    <t>Contact</t>
  </si>
  <si>
    <t>Contact Role</t>
  </si>
  <si>
    <t>contact email</t>
  </si>
  <si>
    <t>eotk lovstion</t>
  </si>
  <si>
    <t>purpose</t>
  </si>
  <si>
    <t>Auditing Department</t>
  </si>
  <si>
    <t>Jared B. Larson</t>
  </si>
  <si>
    <t>Managing Dir,Auditing</t>
  </si>
  <si>
    <t>jblarson@churchofjesuschrist.org</t>
  </si>
  <si>
    <t>Deborah Nelson</t>
  </si>
  <si>
    <t>Executive Assistant</t>
  </si>
  <si>
    <t>ThiessenDF@ldschurch.org</t>
  </si>
  <si>
    <t>COB 16~1678</t>
  </si>
  <si>
    <t>We assist the presiding leaders of the Church to carry out the work of salvation and exaltation by providing assurances and recommendations regarding Church operations, activities, and internal controls.</t>
  </si>
  <si>
    <t>Aaron Hess Sherinian</t>
  </si>
  <si>
    <t>Mng Dir, Church Communications</t>
  </si>
  <si>
    <t>Aaron.Sherinian@ChurchofJesusChrist.org</t>
  </si>
  <si>
    <t>Roma Jean Myers</t>
  </si>
  <si>
    <t>Roma.Myers@churchofjesuschrist.org</t>
  </si>
  <si>
    <t>JSB 02~W201</t>
  </si>
  <si>
    <t>One Voice, One Unified Message, One Point of Accountability: INCREASE UNDERSTANDING of the Church, its audiences, and its purposes.BUILD RELATIONSHIPS with people and organizations to achieve the mission of the Church and protect religious freedom.EXTEND REACH of Church communication channels to minister to the needs of all of God's children.</t>
  </si>
  <si>
    <t>Matt Grow</t>
  </si>
  <si>
    <t>Managing Dir,Church History</t>
  </si>
  <si>
    <t>mjgrow@churchofjesuschrist.org</t>
  </si>
  <si>
    <t>Emily Kristine Davis</t>
  </si>
  <si>
    <t>Emily.Davis@ChurchofJesusChrist.org</t>
  </si>
  <si>
    <t>CHL 04~424</t>
  </si>
  <si>
    <t>The purpose of the Church History Department is to help God's children make and keep sacred covenants by:Keeping and sharing a record of His Church and its people.Ensuring remembrance of God's hand in the lives of His children.Witnessing to and defending the truths of the Restoration of the gospel of Jesus Christ.</t>
  </si>
  <si>
    <t>Berne Broadbent</t>
  </si>
  <si>
    <t>Mng Dir,Correlation</t>
  </si>
  <si>
    <t>broadbentb@churchofjesuschrist.org</t>
  </si>
  <si>
    <t>Megan Nybo</t>
  </si>
  <si>
    <t>Megan.Nybo@ChurchofJesusChrist.org</t>
  </si>
  <si>
    <t>COB 05~556</t>
  </si>
  <si>
    <t>That in the dispensation of the fulness of times he might gather together in one all things in Christ, both which are in heaven, and which are on earth; even in him . . ." (Ephesians 1:10)</t>
  </si>
  <si>
    <t>Dir, Administrative Services</t>
  </si>
  <si>
    <t>Jaelyn Hansen</t>
  </si>
  <si>
    <t>Jaelyn.Hansen@ChurchofJesusChrist.org</t>
  </si>
  <si>
    <t>COB 05~557</t>
  </si>
  <si>
    <t>Nancy</t>
  </si>
  <si>
    <t>Nancy.Johnson@churchofjesuschrist.org</t>
  </si>
  <si>
    <t>COB 05~558</t>
  </si>
  <si>
    <t>Joel Addison Burnham</t>
  </si>
  <si>
    <t>Managing Dir,Security</t>
  </si>
  <si>
    <t>Joel.Burnham@ChurchofJesusChrist.org</t>
  </si>
  <si>
    <t>Communication Specialist</t>
  </si>
  <si>
    <t>CAB 05~504B</t>
  </si>
  <si>
    <t>The mission of the Church Security Department is to promote a secure and peaceful environment in which the mission of the Church may be accomplished.</t>
  </si>
  <si>
    <t>Directors for Temporal Affairs (Utah)</t>
  </si>
  <si>
    <t>Garth Reed</t>
  </si>
  <si>
    <t>Dir,Temp Affairs - No.Ameri DTA</t>
  </si>
  <si>
    <t>ReedGE@churchofjesuschrist.org</t>
  </si>
  <si>
    <t>Maria E. Jones</t>
  </si>
  <si>
    <t>JonesME@churchofjesuschrist.org</t>
  </si>
  <si>
    <t>COB 13~1368</t>
  </si>
  <si>
    <t>Daniel Pino</t>
  </si>
  <si>
    <t>Mgr, Area Planning</t>
  </si>
  <si>
    <t>Daniel.Pino@churchofjesuschrist.org</t>
  </si>
  <si>
    <t>Deseret Trust</t>
  </si>
  <si>
    <t>Wes Mashburn</t>
  </si>
  <si>
    <t>Mng Dir,Deseret Trust</t>
  </si>
  <si>
    <t>mashburnw@deserettrust.com</t>
  </si>
  <si>
    <t>Amanda Buxton</t>
  </si>
  <si>
    <t>Amanda.Buxton@deserettrust.com</t>
  </si>
  <si>
    <t>We prepare the way for God’s work of salvation and exaltation by providing gospel-centered financial resources and affordable, Christlike charitable gift stewardship services to His children.</t>
  </si>
  <si>
    <t>Matthew Lawrence</t>
  </si>
  <si>
    <t>Dir,Finance/Controller 4</t>
  </si>
  <si>
    <t>Matt.Lawrence@deserettrust.com</t>
  </si>
  <si>
    <t>Dir, Trust Officer Sr.</t>
  </si>
  <si>
    <t>Steve Rockwood</t>
  </si>
  <si>
    <t>Mng Dir,Family History</t>
  </si>
  <si>
    <t>RockwoodST@familysearch.org</t>
  </si>
  <si>
    <t>Brooke Cohen</t>
  </si>
  <si>
    <t>Brooke.Cohen@FamilySearch.org</t>
  </si>
  <si>
    <t>COB 03~356</t>
  </si>
  <si>
    <t>We create inspiring experiences that bring joy to all people as they discover, gather, and connect their family—past, present, and future.</t>
  </si>
  <si>
    <t>Kevin Jergensen</t>
  </si>
  <si>
    <t>Managing Dir,Fin/Records</t>
  </si>
  <si>
    <t>jergensenkr@churchofjesuschrist.org</t>
  </si>
  <si>
    <t>COB 17~1794</t>
  </si>
  <si>
    <t>To provide financial, membership, and risk management services
to help accomplish the mission of the Church.</t>
  </si>
  <si>
    <t>Jeff Ridge</t>
  </si>
  <si>
    <t>Mng Dir, Global Service</t>
  </si>
  <si>
    <t>jeffridge@ChurchofJesusChrist.org</t>
  </si>
  <si>
    <t>Jill Jacobson</t>
  </si>
  <si>
    <t xml:space="preserve">Administrative Assistant 1
</t>
  </si>
  <si>
    <t>jilljacobson1@churchofjesuschrist.org</t>
  </si>
  <si>
    <t>ROB 04~4340</t>
  </si>
  <si>
    <t xml:space="preserve">We help others come unto Christ by serving leaders, members, and employees globally in a simple and efficient way. </t>
  </si>
  <si>
    <t>Rachelle Davies</t>
  </si>
  <si>
    <t>Supv, 1</t>
  </si>
  <si>
    <t>Rachelle.Davies@ChurchofJesusChrist.org</t>
  </si>
  <si>
    <t>Amy Hanks</t>
  </si>
  <si>
    <t>Administrative Assistant 2</t>
  </si>
  <si>
    <t>Amy.Hanks@churchofjesuschrist.org</t>
  </si>
  <si>
    <t>ROB 04~4341</t>
  </si>
  <si>
    <t>Charles N. Andersen</t>
  </si>
  <si>
    <t>MngDir,Headquarters Facilities</t>
  </si>
  <si>
    <t>andersencn@ChurchofJesusChrist.org</t>
  </si>
  <si>
    <t>Ruth Johnson</t>
  </si>
  <si>
    <t>johnson.ruth@ChurchofJesusChrist.org</t>
  </si>
  <si>
    <t>COB 07~752</t>
  </si>
  <si>
    <t xml:space="preserve">We care for and maintain headquarters facilities and support resiliency and events to create a place where the Spirit may reside and the work of salvation and exaltation can be accomplished.
</t>
  </si>
  <si>
    <t>Elizabeth Whisamore</t>
  </si>
  <si>
    <t>Mng Dir,Human Resource</t>
  </si>
  <si>
    <t>Elizabeth.Whisamore@ChurchofJesusChrist.org</t>
  </si>
  <si>
    <t>Stephanie Mikal Kelsey</t>
  </si>
  <si>
    <t>KelseySM@ChurchofJesusChrist.org</t>
  </si>
  <si>
    <t>COB 01 West~136W</t>
  </si>
  <si>
    <t>We partner to enable a qualified and engaged workforce to labor diligently in the Lord's vineyard.</t>
  </si>
  <si>
    <t>Information and Communication Services Department</t>
  </si>
  <si>
    <t>Jason D. Durrant</t>
  </si>
  <si>
    <t>Managing Dir,ICS</t>
  </si>
  <si>
    <t>DurrantJD@churchofjesuschrist.org</t>
  </si>
  <si>
    <t>ROB 04~4220</t>
  </si>
  <si>
    <t>ICS will enable the Church to fulfill its mission  by providing technology that creates value for our partners and reflects the eternal impact of the gospel.</t>
  </si>
  <si>
    <t>Daryl Nancollas</t>
  </si>
  <si>
    <t>NancollasD@churchofjesuschrist.org</t>
  </si>
  <si>
    <t>ROB 04~4218</t>
  </si>
  <si>
    <t>Peter Whiting</t>
  </si>
  <si>
    <t>Dir, Services Division</t>
  </si>
  <si>
    <t>Pete@churchofjesuschrist.org</t>
  </si>
  <si>
    <t>ROB 04~4236</t>
  </si>
  <si>
    <t>Steve Schade</t>
  </si>
  <si>
    <t>schadesr@churchofjesuschrist.org</t>
  </si>
  <si>
    <t>ROB</t>
  </si>
  <si>
    <t>Mike Chamberlain</t>
  </si>
  <si>
    <t>comchamb@churchofjesuschrist.org</t>
  </si>
  <si>
    <t>Blake Heringer</t>
  </si>
  <si>
    <t>Blake.Heringer@churchofjesuschrist.org</t>
  </si>
  <si>
    <t>ROB 04~4231</t>
  </si>
  <si>
    <t>matt@ChurchofJesusChrist.org</t>
  </si>
  <si>
    <t>AI Enablement and Innovation</t>
  </si>
  <si>
    <t>Sheryl Carty</t>
  </si>
  <si>
    <t>CartySA@churchofjesuschrist.org</t>
  </si>
  <si>
    <t>Ron Ulloa</t>
  </si>
  <si>
    <t>UlloaRA@churchofjesuschrist.org</t>
  </si>
  <si>
    <t>Solomon Wong</t>
  </si>
  <si>
    <t>solomon@ChurchofJesusChrist.org</t>
  </si>
  <si>
    <t>Kristin Nielson</t>
  </si>
  <si>
    <t>knielson@churchofjesuschrist.org</t>
  </si>
  <si>
    <t>Darrin Wilkey</t>
  </si>
  <si>
    <t>darrinwilkey@churchofjesuschrist.org</t>
  </si>
  <si>
    <t>David Skidmore</t>
  </si>
  <si>
    <t>Dir, Partner Division</t>
  </si>
  <si>
    <t>SkidmoreDR@churchofjesuschrist.org</t>
  </si>
  <si>
    <t>ROB 04~4233</t>
  </si>
  <si>
    <t>Mike Green</t>
  </si>
  <si>
    <t>greenmp@churchofjesuschrist.org</t>
  </si>
  <si>
    <t>COB 02L West~2L87W</t>
  </si>
  <si>
    <t>halljb@churchofjesuschrist.org</t>
  </si>
  <si>
    <t>WardRM@churchofjesuschrist.org</t>
  </si>
  <si>
    <t>todd.anderson@ChurchofJesusChrist.org</t>
  </si>
  <si>
    <t>trent.williams@ChurchofJesusChrist.org</t>
  </si>
  <si>
    <t>j.thompson@ChurchofJesusChrist.org</t>
  </si>
  <si>
    <t>GSD &amp; Other Ops</t>
  </si>
  <si>
    <t>Brent.Harris@ChurchofJesusChrist.org</t>
  </si>
  <si>
    <t>cardonr@ChurchofJesusChrist.org</t>
  </si>
  <si>
    <t>Communication and Publishing Technology</t>
  </si>
  <si>
    <t>adlowry99@churchofjesuschrist.org</t>
  </si>
  <si>
    <t>Joe Taylor</t>
  </si>
  <si>
    <t>J.Taylor@ChurchofJesusChrist.org</t>
  </si>
  <si>
    <t>Wick@ChurchofJesusChrist.org</t>
  </si>
  <si>
    <t>Bryant Marcum</t>
  </si>
  <si>
    <t>Dir, Change and Engagement</t>
  </si>
  <si>
    <t>Bryant.Marcum@churchofjesuschrist.org</t>
  </si>
  <si>
    <t>ROB 04~4222</t>
  </si>
  <si>
    <t>Devan Green</t>
  </si>
  <si>
    <t>Director, Business Operations</t>
  </si>
  <si>
    <t>GreenDe@churchofjesuschrist.org</t>
  </si>
  <si>
    <t>COB 20~2049</t>
  </si>
  <si>
    <t>Brad Dew</t>
  </si>
  <si>
    <t>Dir, VMO Division</t>
  </si>
  <si>
    <t>Brad.Dew@ChurchofJesusChrist.org</t>
  </si>
  <si>
    <t>ROB 04~4232</t>
  </si>
  <si>
    <t>Brandee Nellis</t>
  </si>
  <si>
    <t>Director, Business Operations - Performance &amp; Execution</t>
  </si>
  <si>
    <t>NellisB@churchofjesuschrist.org</t>
  </si>
  <si>
    <t>ROB 04~4234</t>
  </si>
  <si>
    <t>Bill Harris</t>
  </si>
  <si>
    <t>Division Director</t>
  </si>
  <si>
    <t>biharris@churchofjesuschrist.org</t>
  </si>
  <si>
    <t>COB 20~2045</t>
  </si>
  <si>
    <t>Lorin Romrell</t>
  </si>
  <si>
    <t>RomrellLG@churchofjesuschrist.org</t>
  </si>
  <si>
    <t>ROB 01~1371D</t>
  </si>
  <si>
    <t>Jared Mackey</t>
  </si>
  <si>
    <t>Director, Info Security (CISO)</t>
  </si>
  <si>
    <t>mackeyjm@churchofjesuschrist.org</t>
  </si>
  <si>
    <t>ROB 04~4237</t>
  </si>
  <si>
    <t>Clark Christensen</t>
  </si>
  <si>
    <t>clark@ChurchofJesusChrist.org</t>
  </si>
  <si>
    <t>ROB 04~4241</t>
  </si>
  <si>
    <t>Kerry Brewer</t>
  </si>
  <si>
    <t>BrewerKe@churchofjesuschrist.org</t>
  </si>
  <si>
    <t>ROB 04~4238</t>
  </si>
  <si>
    <t>Davis Stovall</t>
  </si>
  <si>
    <t>stovalldav@churchofjesuschrist.org</t>
  </si>
  <si>
    <t>ROB 04~4239</t>
  </si>
  <si>
    <t>Dennis D Taggart III</t>
  </si>
  <si>
    <t>Dennis.Taggart@ChurchofJesusChrist.org</t>
  </si>
  <si>
    <t>ROB 04~4243</t>
  </si>
  <si>
    <t>Meetinghouse Facilities</t>
  </si>
  <si>
    <t>Eric William Conrad</t>
  </si>
  <si>
    <t>Mng Dir, Meetinghouse Facilities</t>
  </si>
  <si>
    <t>Eric.Conrad@churchofjesuschrist.org</t>
  </si>
  <si>
    <t>Cindy Norton</t>
  </si>
  <si>
    <t>Cynthia.Norton@churchofjesuschrist.org</t>
  </si>
  <si>
    <t>COB 11~1170</t>
  </si>
  <si>
    <t>We prepare the way for the work of salvation and exaltation by providing essential gospel teachings, resources, and services to God’s children.</t>
  </si>
  <si>
    <t>Dave Weidman</t>
  </si>
  <si>
    <t>Managing Dir,Missionary</t>
  </si>
  <si>
    <t>dnweidman@churchofjesuschrist.org</t>
  </si>
  <si>
    <t>COB 03 West~338W</t>
  </si>
  <si>
    <t>"Invite others to come unto Christ by helping them receive the restored gospel through faith in Jesus Christ and His Atonement, repentance, baptism, receiving the gift of the Holy Ghost, and enduring to the end" (Preach My Gospel, 1).</t>
  </si>
  <si>
    <t>Kurt Romney</t>
  </si>
  <si>
    <t>Managing Dir, Materials Management</t>
  </si>
  <si>
    <t>RomneyK@ChurchofJesusChrist.org</t>
  </si>
  <si>
    <t>Kimberly Joan Heath</t>
  </si>
  <si>
    <t>Kimberly.Heath@churchofjesuschrist.org</t>
  </si>
  <si>
    <t>COB 25~2582</t>
  </si>
  <si>
    <t>Areas develop, adopt, and maintain area-adapted meetinghouse strategies and processes that balance uniformity (MFD Pattern) and local adaptation, while encouraging collaboration, and fostering continuous innovation and improvement.</t>
  </si>
  <si>
    <t>Office of General Counsel Department</t>
  </si>
  <si>
    <t>David A. Channer</t>
  </si>
  <si>
    <t>Deputy General Counsel</t>
  </si>
  <si>
    <t>dchanner@churchofjesuschrist.org</t>
  </si>
  <si>
    <t>Carrie O'Hagan</t>
  </si>
  <si>
    <t>CarrieOHagan@ChurchofJesusChrist.org</t>
  </si>
  <si>
    <t>COB 02 West~222W</t>
  </si>
  <si>
    <t>Lee A. Wright</t>
  </si>
  <si>
    <t>Associate General Counsel</t>
  </si>
  <si>
    <t>WrightLA@churchofjesuschrist.org</t>
  </si>
  <si>
    <t>COB 02 West~226W</t>
  </si>
  <si>
    <t>Matt Richards</t>
  </si>
  <si>
    <t>MRichards@churchofjesuschrist.org</t>
  </si>
  <si>
    <t>COB 02 West~228W</t>
  </si>
  <si>
    <t>Jeff Isom</t>
  </si>
  <si>
    <t>Mng Dir,Publishing Services</t>
  </si>
  <si>
    <t>IsomJD@churchofjesuschrist.org</t>
  </si>
  <si>
    <t>Alanna Kemavor</t>
  </si>
  <si>
    <t>Alanna.Kemavor@churchofjesuschrist.org</t>
  </si>
  <si>
    <t>COB 01 East~180E</t>
  </si>
  <si>
    <t>All God's children need to feel His love.We increase the power and reach of our customers' messages and products.</t>
  </si>
  <si>
    <t>Jason J. Mitchell</t>
  </si>
  <si>
    <t>Mng Dir,Priesthood Dept</t>
  </si>
  <si>
    <t>jason.mitchell@ChurchofJesusChrist.org</t>
  </si>
  <si>
    <t>COB 24~2487</t>
  </si>
  <si>
    <t>We help God's children joyfully live the gospel of Jesus Christ.</t>
  </si>
  <si>
    <t>Seminaries and InstitutesDepartment</t>
  </si>
  <si>
    <t>Chad Webb</t>
  </si>
  <si>
    <t>Administrator,S&amp;I of Religion</t>
  </si>
  <si>
    <t>WebbCH@churchofjesuschrist.org</t>
  </si>
  <si>
    <t>Erika Fernandez</t>
  </si>
  <si>
    <t>FernandezEX@churchofjesuschrist.org</t>
  </si>
  <si>
    <t>COB 09~960</t>
  </si>
  <si>
    <t>Our purpose is to help youth and young adults understand and rely on the teachings and Atonement of Jesus Christ, qualify for the blessings of the temple, and prepare themselves, their families, and others for eternal life with their Father in Heaven.</t>
  </si>
  <si>
    <t>Special Projects</t>
  </si>
  <si>
    <t>Brent W. Roberts</t>
  </si>
  <si>
    <t>Mng Dir,Temple &amp; Special Proj</t>
  </si>
  <si>
    <t>RobertsBW@churchofjesuschrist.org</t>
  </si>
  <si>
    <t>COB 10~1056</t>
  </si>
  <si>
    <t>We implement the vision of the Presiding Bishopric by providing temples, other facilities, and associated services.</t>
  </si>
  <si>
    <t>Michael O. Leavitt</t>
  </si>
  <si>
    <t>President, Tabernacle Choir</t>
  </si>
  <si>
    <t>The purpose of the Tabernacle Choir at Temple Square is to have as many people as possible hear the music of the Choir, the Temple Square Chorale and the Bells on Temple Square so that they can feel the Spirit and message of the Choir.</t>
  </si>
  <si>
    <t>Michael Suhaka</t>
  </si>
  <si>
    <t>Managing Dir,Temples</t>
  </si>
  <si>
    <t>suhakamj@churchofjesuschrist.org</t>
  </si>
  <si>
    <t>Sharon Cook</t>
  </si>
  <si>
    <t>CookSR@churchofjesuschrist.org</t>
  </si>
  <si>
    <t>COB 04~454</t>
  </si>
  <si>
    <t>"...And this is the blessing which hath been bestowed upon us, that we have been made instrument in the hands of God to bring about this great work." 
- Alma 26:3</t>
  </si>
  <si>
    <t>Blaine Maxfield</t>
  </si>
  <si>
    <t>Managing Dir, WEL and SRS</t>
  </si>
  <si>
    <t>blaine.maxfield@ChurchofJesusChrist.org</t>
  </si>
  <si>
    <t>Whitney Brown</t>
  </si>
  <si>
    <t>whitneybrown@ChurchofJesusChrist.org</t>
  </si>
  <si>
    <t>COB 19~1926</t>
  </si>
  <si>
    <t>We strive to follow Jesus Christ by embracing the two great commandments to love God and love our neighbor as we:
Minister to those in need
Build spiritual and temporal self-reliance
Bless both givers and receivers</t>
  </si>
  <si>
    <t>Service Missionary Resources</t>
  </si>
  <si>
    <t>???</t>
  </si>
  <si>
    <t>Head Count</t>
  </si>
  <si>
    <t>Quarter</t>
  </si>
  <si>
    <t>Grand Total</t>
  </si>
  <si>
    <t>Sum of Head Count</t>
  </si>
  <si>
    <t>cummulative</t>
  </si>
  <si>
    <t>each quarter</t>
  </si>
  <si>
    <t>planned</t>
  </si>
  <si>
    <t>remaining</t>
  </si>
  <si>
    <t>need</t>
  </si>
  <si>
    <t>Seminaries and Institutes (+q3)</t>
  </si>
  <si>
    <t>Tabernacle Choir (500?)</t>
  </si>
  <si>
    <t>q1</t>
  </si>
  <si>
    <t>Rollout ICS + CSD + HQF + TBC &amp; upgrade all readers</t>
  </si>
  <si>
    <t>q2</t>
  </si>
  <si>
    <t>Temple + Church History + AUD + PBO/PBA/PBI + MISS + DTC + SAI + GSD + QSV/QTW/OFP + SAI + SPD  + OGC + DTA</t>
  </si>
  <si>
    <t>q3</t>
  </si>
  <si>
    <t xml:space="preserve">Correlation + PSD + MMD + MFD + FHD + CES/SAI + HRD + FRD + PTH </t>
  </si>
  <si>
    <t>q4</t>
  </si>
  <si>
    <t>BPW + DFC + CCO + CCD + DMB + WSR + TRF + EPA + DMB + PRI + PHP/PHI &amp; retire old badges</t>
  </si>
  <si>
    <t>quarter</t>
  </si>
  <si>
    <t>User Count</t>
  </si>
  <si>
    <t>Conversion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</si>
</sst>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409]d\-mmm;@"/>
  </numFmts>
  <fonts count="22" x14ac:knownFonts="1">
    <font>
      <sz val="11"/>
      <color theme="1"/>
      <name val="Aptos Narrow"/>
      <family val="2"/>
      <scheme val="minor"/>
    </font>
    <font>
      <sz val="11"/>
      <color rgb="FF000000"/>
      <name val="Aptos"/>
      <family val="2"/>
    </font>
    <font>
      <strike/>
      <sz val="11"/>
      <color theme="1"/>
      <name val="Aptos Narrow"/>
      <family val="2"/>
      <scheme val="minor"/>
    </font>
    <font>
      <u/>
      <sz val="11"/>
      <color theme="10"/>
      <name val="Aptos Narrow"/>
      <family val="2"/>
      <scheme val="minor"/>
    </font>
    <font>
      <sz val="11"/>
      <color theme="1"/>
      <name val="Aptos Narrow"/>
      <scheme val="minor"/>
    </font>
    <font>
      <u/>
      <sz val="11"/>
      <color theme="10"/>
      <name val="Aptos Narrow"/>
      <scheme val="minor"/>
    </font>
    <font>
      <sz val="11"/>
      <color rgb="FF474747"/>
      <name val="Aptos Narrow"/>
      <scheme val="minor"/>
    </font>
    <font>
      <sz val="12"/>
      <color rgb="FF333333"/>
      <name val="Aptos Narrow"/>
      <scheme val="minor"/>
    </font>
    <font>
      <b/>
      <sz val="11"/>
      <color theme="1"/>
      <name val="Aptos Narrow"/>
      <scheme val="minor"/>
    </font>
    <font>
      <b/>
      <sz val="11"/>
      <color theme="1"/>
      <name val="Aptos Narrow"/>
      <family val="2"/>
      <scheme val="minor"/>
    </font>
    <font>
      <sz val="11"/>
      <color rgb="FFFF0000"/>
      <name val="Aptos Narrow"/>
      <scheme val="minor"/>
    </font>
    <font>
      <sz val="11"/>
      <color rgb="FF467886"/>
      <name val="Aptos Narrow"/>
      <scheme val="minor"/>
    </font>
    <font>
      <sz val="11"/>
      <color rgb="FFF76307"/>
      <name val="Aptos Narrow"/>
      <family val="2"/>
      <scheme val="minor"/>
    </font>
    <font>
      <sz val="11"/>
      <color rgb="FFF76307"/>
      <name val="Aptos"/>
      <family val="2"/>
    </font>
    <font>
      <u/>
      <sz val="11"/>
      <color rgb="FFF76307"/>
      <name val="Aptos Narrow"/>
      <family val="2"/>
      <scheme val="minor"/>
    </font>
    <font>
      <sz val="11"/>
      <color rgb="FFF76307"/>
      <name val="Aptos Narrow"/>
      <scheme val="minor"/>
    </font>
    <font>
      <sz val="11"/>
      <color theme="0" tint="-0.499984740745262"/>
      <name val="Aptos Narrow"/>
      <family val="2"/>
      <scheme val="minor"/>
    </font>
    <font>
      <sz val="11"/>
      <color theme="0" tint="-0.499984740745262"/>
      <name val="Aptos"/>
      <family val="2"/>
    </font>
    <font>
      <sz val="11"/>
      <color theme="0" tint="-0.499984740745262"/>
      <name val="Aptos Narrow"/>
      <scheme val="minor"/>
    </font>
    <font>
      <b/>
      <sz val="11"/>
      <color rgb="FFFF0000"/>
      <name val="Aptos Narrow"/>
      <family val="2"/>
      <scheme val="minor"/>
    </font>
    <font>
      <b/>
      <sz val="11"/>
      <color rgb="FFFF0000"/>
      <name val="Aptos"/>
      <family val="2"/>
    </font>
    <font>
      <b/>
      <sz val="11"/>
      <color rgb="FFFF0000"/>
      <name val="Aptos Narrow"/>
      <scheme val="minor"/>
    </font>
  </fonts>
  <fills count="20">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CF997"/>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rgb="FF0AF5BE"/>
        <bgColor indexed="64"/>
      </patternFill>
    </fill>
    <fill>
      <patternFill patternType="solid">
        <fgColor rgb="FFFCB883"/>
        <bgColor indexed="64"/>
      </patternFill>
    </fill>
    <fill>
      <patternFill patternType="solid">
        <fgColor theme="2"/>
        <bgColor indexed="64"/>
      </patternFill>
    </fill>
    <fill>
      <patternFill patternType="solid">
        <fgColor theme="4" tint="0.59999389629810485"/>
        <bgColor indexed="64"/>
      </patternFill>
    </fill>
    <fill>
      <patternFill patternType="solid">
        <fgColor rgb="FFF8FAC0"/>
        <bgColor indexed="64"/>
      </patternFill>
    </fill>
    <fill>
      <patternFill patternType="solid">
        <fgColor rgb="FFFAE1F8"/>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medium">
        <color rgb="FF00B050"/>
      </left>
      <right/>
      <top/>
      <bottom/>
      <diagonal/>
    </border>
    <border>
      <left style="medium">
        <color rgb="FFFA4DC0"/>
      </left>
      <right/>
      <top/>
      <bottom/>
      <diagonal/>
    </border>
    <border>
      <left style="medium">
        <color theme="3" tint="0.499984740745262"/>
      </left>
      <right/>
      <top/>
      <bottom/>
      <diagonal/>
    </border>
    <border>
      <left style="medium">
        <color theme="9" tint="-0.249977111117893"/>
      </left>
      <right style="medium">
        <color theme="9" tint="-0.249977111117893"/>
      </right>
      <top style="medium">
        <color theme="9" tint="-0.249977111117893"/>
      </top>
      <bottom style="medium">
        <color theme="9" tint="-0.249977111117893"/>
      </bottom>
      <diagonal/>
    </border>
    <border>
      <left style="medium">
        <color rgb="FF0AF5BE"/>
      </left>
      <right/>
      <top/>
      <bottom/>
      <diagonal/>
    </border>
  </borders>
  <cellStyleXfs count="2">
    <xf numFmtId="0" fontId="0" fillId="0" borderId="0"/>
    <xf numFmtId="0" fontId="3" fillId="0" borderId="0" applyNumberFormat="0" applyFill="0" applyBorder="0" applyAlignment="0" applyProtection="0"/>
  </cellStyleXfs>
  <cellXfs count="151">
    <xf numFmtId="0" fontId="0" fillId="0" borderId="0" xfId="0"/>
    <xf numFmtId="0" fontId="0" fillId="0" borderId="1" xfId="0" applyBorder="1" applyAlignment="1">
      <alignment horizontal="left"/>
    </xf>
    <xf numFmtId="0" fontId="0" fillId="2" borderId="1" xfId="0" applyFill="1" applyBorder="1" applyAlignment="1">
      <alignment horizontal="left"/>
    </xf>
    <xf numFmtId="0" fontId="1" fillId="2" borderId="1" xfId="0" applyFont="1" applyFill="1" applyBorder="1" applyAlignment="1">
      <alignment horizontal="left" vertical="center"/>
    </xf>
    <xf numFmtId="0" fontId="1" fillId="2" borderId="1" xfId="0" applyFont="1" applyFill="1" applyBorder="1" applyAlignment="1">
      <alignment horizontal="left"/>
    </xf>
    <xf numFmtId="0" fontId="0" fillId="0" borderId="0" xfId="0" applyAlignment="1">
      <alignment horizontal="left"/>
    </xf>
    <xf numFmtId="0" fontId="0" fillId="0" borderId="2" xfId="0" applyBorder="1" applyAlignment="1">
      <alignment horizontal="left"/>
    </xf>
    <xf numFmtId="0" fontId="0" fillId="3" borderId="1" xfId="0" applyFill="1" applyBorder="1" applyAlignment="1">
      <alignment horizontal="left"/>
    </xf>
    <xf numFmtId="0" fontId="1" fillId="3" borderId="1" xfId="0" applyFont="1" applyFill="1" applyBorder="1" applyAlignment="1">
      <alignment horizontal="left" vertical="center"/>
    </xf>
    <xf numFmtId="0" fontId="1" fillId="3" borderId="1" xfId="0" applyFont="1" applyFill="1" applyBorder="1" applyAlignment="1">
      <alignment horizontal="left"/>
    </xf>
    <xf numFmtId="0" fontId="0" fillId="3" borderId="0" xfId="0" applyFill="1"/>
    <xf numFmtId="0" fontId="2" fillId="0" borderId="1" xfId="0" applyFont="1" applyBorder="1" applyAlignment="1">
      <alignment horizontal="left"/>
    </xf>
    <xf numFmtId="0" fontId="2" fillId="3" borderId="1" xfId="0" applyFont="1" applyFill="1" applyBorder="1" applyAlignment="1">
      <alignment horizontal="left"/>
    </xf>
    <xf numFmtId="0" fontId="3" fillId="0" borderId="0" xfId="1"/>
    <xf numFmtId="0" fontId="4" fillId="0" borderId="0" xfId="0" applyFont="1"/>
    <xf numFmtId="0" fontId="4" fillId="0" borderId="0" xfId="0" applyFont="1" applyAlignment="1">
      <alignment wrapText="1"/>
    </xf>
    <xf numFmtId="0" fontId="5" fillId="0" borderId="0" xfId="1" applyFont="1"/>
    <xf numFmtId="0" fontId="6" fillId="0" borderId="0" xfId="0" applyFont="1"/>
    <xf numFmtId="0" fontId="4" fillId="4" borderId="0" xfId="0" applyFont="1" applyFill="1"/>
    <xf numFmtId="0" fontId="6" fillId="4" borderId="0" xfId="0" applyFont="1" applyFill="1"/>
    <xf numFmtId="0" fontId="5" fillId="4" borderId="0" xfId="1" applyFont="1" applyFill="1"/>
    <xf numFmtId="0" fontId="4" fillId="4" borderId="0" xfId="0" applyFont="1" applyFill="1" applyAlignment="1">
      <alignment wrapText="1"/>
    </xf>
    <xf numFmtId="0" fontId="4" fillId="6" borderId="0" xfId="0" applyFont="1" applyFill="1"/>
    <xf numFmtId="0" fontId="4" fillId="6" borderId="0" xfId="0" applyFont="1" applyFill="1" applyAlignment="1">
      <alignment wrapText="1"/>
    </xf>
    <xf numFmtId="0" fontId="4" fillId="5" borderId="0" xfId="0" applyFont="1" applyFill="1"/>
    <xf numFmtId="0" fontId="5" fillId="5" borderId="0" xfId="1" applyFont="1" applyFill="1"/>
    <xf numFmtId="0" fontId="4" fillId="5" borderId="0" xfId="0" applyFont="1" applyFill="1" applyAlignment="1">
      <alignment wrapText="1"/>
    </xf>
    <xf numFmtId="0" fontId="7" fillId="0" borderId="0" xfId="0" applyFont="1"/>
    <xf numFmtId="0" fontId="7" fillId="4" borderId="0" xfId="0" applyFont="1" applyFill="1"/>
    <xf numFmtId="0" fontId="3" fillId="6" borderId="0" xfId="1" applyFill="1"/>
    <xf numFmtId="0" fontId="4" fillId="7" borderId="0" xfId="0" applyFont="1" applyFill="1"/>
    <xf numFmtId="0" fontId="3" fillId="7" borderId="0" xfId="1" applyFill="1"/>
    <xf numFmtId="0" fontId="4" fillId="7" borderId="0" xfId="0" applyFont="1" applyFill="1" applyAlignment="1">
      <alignment wrapText="1"/>
    </xf>
    <xf numFmtId="0" fontId="4" fillId="8" borderId="0" xfId="0" applyFont="1" applyFill="1"/>
    <xf numFmtId="0" fontId="3" fillId="8" borderId="0" xfId="1" applyFill="1"/>
    <xf numFmtId="0" fontId="4" fillId="8" borderId="0" xfId="0" applyFont="1" applyFill="1" applyAlignment="1">
      <alignment wrapText="1"/>
    </xf>
    <xf numFmtId="0" fontId="4" fillId="9" borderId="0" xfId="0" applyFont="1" applyFill="1"/>
    <xf numFmtId="0" fontId="4" fillId="8" borderId="3" xfId="0" applyFont="1" applyFill="1" applyBorder="1"/>
    <xf numFmtId="0" fontId="4" fillId="10" borderId="0" xfId="0" applyFont="1" applyFill="1"/>
    <xf numFmtId="0" fontId="4" fillId="8" borderId="4" xfId="0" applyFont="1" applyFill="1" applyBorder="1"/>
    <xf numFmtId="0" fontId="3" fillId="9" borderId="0" xfId="1" applyFill="1"/>
    <xf numFmtId="0" fontId="3" fillId="10" borderId="0" xfId="1" applyFill="1"/>
    <xf numFmtId="0" fontId="4" fillId="11" borderId="0" xfId="0" applyFont="1" applyFill="1"/>
    <xf numFmtId="0" fontId="3" fillId="11" borderId="0" xfId="1" applyFill="1"/>
    <xf numFmtId="0" fontId="4" fillId="12" borderId="0" xfId="0" applyFont="1" applyFill="1"/>
    <xf numFmtId="0" fontId="4" fillId="12" borderId="0" xfId="0" applyFont="1" applyFill="1" applyAlignment="1">
      <alignment wrapText="1"/>
    </xf>
    <xf numFmtId="0" fontId="3" fillId="12" borderId="0" xfId="1" applyFill="1"/>
    <xf numFmtId="0" fontId="4" fillId="8" borderId="5" xfId="0" applyFont="1" applyFill="1" applyBorder="1"/>
    <xf numFmtId="0" fontId="4" fillId="13" borderId="0" xfId="0" applyFont="1" applyFill="1"/>
    <xf numFmtId="0" fontId="3" fillId="13" borderId="0" xfId="1" applyFill="1"/>
    <xf numFmtId="0" fontId="4" fillId="14" borderId="6" xfId="0" applyFont="1" applyFill="1" applyBorder="1"/>
    <xf numFmtId="0" fontId="4" fillId="14" borderId="0" xfId="0" applyFont="1" applyFill="1"/>
    <xf numFmtId="0" fontId="3" fillId="14" borderId="0" xfId="1" applyFill="1"/>
    <xf numFmtId="0" fontId="4" fillId="8" borderId="7" xfId="0" applyFont="1" applyFill="1" applyBorder="1"/>
    <xf numFmtId="0" fontId="4" fillId="15" borderId="0" xfId="0" applyFont="1" applyFill="1"/>
    <xf numFmtId="0" fontId="4" fillId="15" borderId="0" xfId="0" applyFont="1" applyFill="1" applyAlignment="1">
      <alignment wrapText="1"/>
    </xf>
    <xf numFmtId="0" fontId="3" fillId="15" borderId="0" xfId="1" applyFill="1"/>
    <xf numFmtId="0" fontId="8" fillId="0" borderId="0" xfId="0" applyFont="1"/>
    <xf numFmtId="0" fontId="4" fillId="16" borderId="0" xfId="0" applyFont="1" applyFill="1"/>
    <xf numFmtId="0" fontId="4" fillId="16" borderId="0" xfId="0" applyFont="1" applyFill="1" applyAlignment="1">
      <alignment wrapText="1"/>
    </xf>
    <xf numFmtId="0" fontId="0" fillId="16" borderId="0" xfId="0" applyFill="1"/>
    <xf numFmtId="0" fontId="8" fillId="0" borderId="0" xfId="0" applyFont="1" applyAlignment="1">
      <alignment wrapText="1"/>
    </xf>
    <xf numFmtId="0" fontId="9" fillId="0" borderId="0" xfId="0" applyFont="1"/>
    <xf numFmtId="0" fontId="4" fillId="17" borderId="0" xfId="0" applyFont="1" applyFill="1"/>
    <xf numFmtId="0" fontId="4" fillId="17" borderId="0" xfId="0" applyFont="1" applyFill="1" applyAlignment="1">
      <alignment wrapText="1"/>
    </xf>
    <xf numFmtId="0" fontId="3" fillId="17" borderId="0" xfId="1" applyFill="1"/>
    <xf numFmtId="0" fontId="4" fillId="8" borderId="0" xfId="0" applyFont="1" applyFill="1" applyAlignment="1">
      <alignment horizontal="right"/>
    </xf>
    <xf numFmtId="0" fontId="10" fillId="0" borderId="0" xfId="0" applyFont="1"/>
    <xf numFmtId="0" fontId="0" fillId="0" borderId="0" xfId="0" pivotButton="1"/>
    <xf numFmtId="0" fontId="0" fillId="0" borderId="0" xfId="0" applyAlignment="1">
      <alignment horizontal="right"/>
    </xf>
    <xf numFmtId="0" fontId="0" fillId="0" borderId="0" xfId="0" applyAlignment="1">
      <alignment horizontal="left" wrapText="1"/>
    </xf>
    <xf numFmtId="0" fontId="0" fillId="0" borderId="0" xfId="0" applyAlignment="1">
      <alignment wrapText="1"/>
    </xf>
    <xf numFmtId="0" fontId="1" fillId="0" borderId="0" xfId="0" applyFont="1" applyAlignment="1">
      <alignment horizontal="left" vertic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right" wrapText="1"/>
    </xf>
    <xf numFmtId="0" fontId="1" fillId="0" borderId="0" xfId="0" applyFont="1" applyAlignment="1">
      <alignment horizontal="right" vertical="center" wrapText="1"/>
    </xf>
    <xf numFmtId="16" fontId="1" fillId="0" borderId="0" xfId="0" applyNumberFormat="1" applyFont="1" applyAlignment="1">
      <alignment horizontal="right" vertical="center" wrapText="1"/>
    </xf>
    <xf numFmtId="0" fontId="3" fillId="0" borderId="0" xfId="1" applyAlignment="1">
      <alignment horizontal="left" vertical="center" wrapText="1"/>
    </xf>
    <xf numFmtId="0" fontId="3" fillId="0" borderId="0" xfId="1" applyAlignment="1">
      <alignment horizontal="left" vertical="center"/>
    </xf>
    <xf numFmtId="0" fontId="11" fillId="0" borderId="0" xfId="1" applyFont="1" applyAlignment="1">
      <alignment horizontal="left" vertical="center"/>
    </xf>
    <xf numFmtId="16" fontId="1" fillId="0" borderId="0" xfId="0" applyNumberFormat="1" applyFont="1" applyAlignment="1">
      <alignment horizontal="left" vertical="center" wrapText="1"/>
    </xf>
    <xf numFmtId="0" fontId="11" fillId="18" borderId="0" xfId="1" applyFont="1" applyFill="1" applyAlignment="1">
      <alignment horizontal="left" vertical="center"/>
    </xf>
    <xf numFmtId="0" fontId="0" fillId="18" borderId="0" xfId="0" applyFill="1" applyAlignment="1">
      <alignment horizontal="left" wrapText="1"/>
    </xf>
    <xf numFmtId="0" fontId="0" fillId="18" borderId="0" xfId="0" applyFill="1" applyAlignment="1">
      <alignment wrapText="1"/>
    </xf>
    <xf numFmtId="0" fontId="1" fillId="18" borderId="0" xfId="0" applyFont="1" applyFill="1" applyAlignment="1">
      <alignment horizontal="right" vertical="center" wrapText="1"/>
    </xf>
    <xf numFmtId="16" fontId="1" fillId="18" borderId="0" xfId="0" applyNumberFormat="1" applyFont="1" applyFill="1" applyAlignment="1">
      <alignment horizontal="right" vertical="center" wrapText="1"/>
    </xf>
    <xf numFmtId="0" fontId="1" fillId="18" borderId="0" xfId="0" applyFont="1" applyFill="1" applyAlignment="1">
      <alignment horizontal="left" vertical="center" wrapText="1"/>
    </xf>
    <xf numFmtId="0" fontId="1" fillId="18" borderId="0" xfId="0" applyFont="1" applyFill="1" applyAlignment="1">
      <alignment horizontal="left" vertical="center"/>
    </xf>
    <xf numFmtId="0" fontId="0" fillId="5" borderId="0" xfId="0" applyFill="1" applyAlignment="1">
      <alignment horizontal="left" wrapText="1"/>
    </xf>
    <xf numFmtId="0" fontId="1" fillId="5" borderId="0" xfId="0" applyFont="1" applyFill="1" applyAlignment="1">
      <alignment horizontal="right" vertical="center" wrapText="1"/>
    </xf>
    <xf numFmtId="16" fontId="1" fillId="5" borderId="0" xfId="0" applyNumberFormat="1" applyFont="1" applyFill="1" applyAlignment="1">
      <alignment horizontal="right" vertical="center" wrapText="1"/>
    </xf>
    <xf numFmtId="0" fontId="1" fillId="5" borderId="0" xfId="0" applyFont="1" applyFill="1" applyAlignment="1">
      <alignment horizontal="left" vertical="center" wrapText="1"/>
    </xf>
    <xf numFmtId="0" fontId="1" fillId="5" borderId="0" xfId="0" applyFont="1" applyFill="1" applyAlignment="1">
      <alignment horizontal="left" vertical="center"/>
    </xf>
    <xf numFmtId="0" fontId="11" fillId="5" borderId="0" xfId="1" applyFont="1" applyFill="1" applyAlignment="1">
      <alignment horizontal="left" vertical="center"/>
    </xf>
    <xf numFmtId="0" fontId="0" fillId="19" borderId="0" xfId="0" applyFill="1" applyAlignment="1">
      <alignment horizontal="left" wrapText="1"/>
    </xf>
    <xf numFmtId="0" fontId="1" fillId="19" borderId="0" xfId="0" applyFont="1" applyFill="1" applyAlignment="1">
      <alignment horizontal="right" vertical="center" wrapText="1"/>
    </xf>
    <xf numFmtId="16" fontId="1" fillId="19" borderId="0" xfId="0" applyNumberFormat="1" applyFont="1" applyFill="1" applyAlignment="1">
      <alignment horizontal="right" vertical="center" wrapText="1"/>
    </xf>
    <xf numFmtId="0" fontId="1" fillId="19" borderId="0" xfId="0" applyFont="1" applyFill="1" applyAlignment="1">
      <alignment horizontal="left" vertical="center" wrapText="1"/>
    </xf>
    <xf numFmtId="0" fontId="1" fillId="19" borderId="0" xfId="0" applyFont="1" applyFill="1" applyAlignment="1">
      <alignment horizontal="left" vertical="center"/>
    </xf>
    <xf numFmtId="0" fontId="0" fillId="19" borderId="0" xfId="0" applyFill="1" applyAlignment="1">
      <alignment wrapText="1"/>
    </xf>
    <xf numFmtId="0" fontId="12" fillId="0" borderId="0" xfId="0" applyFont="1" applyAlignment="1">
      <alignment horizontal="left" wrapText="1"/>
    </xf>
    <xf numFmtId="0" fontId="13" fillId="0" borderId="0" xfId="0" applyFont="1" applyAlignment="1">
      <alignment horizontal="right" vertical="center" wrapText="1"/>
    </xf>
    <xf numFmtId="16" fontId="13" fillId="0" borderId="0" xfId="0" applyNumberFormat="1" applyFont="1" applyAlignment="1">
      <alignment horizontal="right" vertical="center" wrapText="1"/>
    </xf>
    <xf numFmtId="0" fontId="13" fillId="0" borderId="0" xfId="0" applyFont="1" applyAlignment="1">
      <alignment horizontal="left" vertical="center" wrapText="1"/>
    </xf>
    <xf numFmtId="0" fontId="14" fillId="0" borderId="0" xfId="1" applyFont="1" applyAlignment="1">
      <alignment horizontal="left" vertical="center"/>
    </xf>
    <xf numFmtId="0" fontId="15" fillId="0" borderId="0" xfId="1" applyFont="1" applyAlignment="1">
      <alignment horizontal="left" vertical="center"/>
    </xf>
    <xf numFmtId="0" fontId="12" fillId="18" borderId="0" xfId="0" applyFont="1" applyFill="1" applyAlignment="1">
      <alignment horizontal="left" wrapText="1"/>
    </xf>
    <xf numFmtId="0" fontId="12" fillId="18" borderId="0" xfId="0" applyFont="1" applyFill="1" applyAlignment="1">
      <alignment wrapText="1"/>
    </xf>
    <xf numFmtId="0" fontId="13" fillId="18" borderId="0" xfId="0" applyFont="1" applyFill="1" applyAlignment="1">
      <alignment horizontal="right" vertical="center" wrapText="1"/>
    </xf>
    <xf numFmtId="16" fontId="13" fillId="18" borderId="0" xfId="0" applyNumberFormat="1" applyFont="1" applyFill="1" applyAlignment="1">
      <alignment horizontal="right" vertical="center" wrapText="1"/>
    </xf>
    <xf numFmtId="0" fontId="13" fillId="18" borderId="0" xfId="0" applyFont="1" applyFill="1" applyAlignment="1">
      <alignment horizontal="left" vertical="center" wrapText="1"/>
    </xf>
    <xf numFmtId="0" fontId="14" fillId="18" borderId="0" xfId="1" applyFont="1" applyFill="1" applyAlignment="1">
      <alignment horizontal="left" vertical="center"/>
    </xf>
    <xf numFmtId="0" fontId="15" fillId="18" borderId="0" xfId="1" applyFont="1" applyFill="1" applyAlignment="1">
      <alignment horizontal="left" vertical="center"/>
    </xf>
    <xf numFmtId="0" fontId="13" fillId="18" borderId="0" xfId="0" applyFont="1" applyFill="1" applyAlignment="1">
      <alignment horizontal="left" vertical="center"/>
    </xf>
    <xf numFmtId="164" fontId="0" fillId="0" borderId="0" xfId="0" applyNumberFormat="1" applyAlignment="1">
      <alignment horizontal="center" wrapText="1"/>
    </xf>
    <xf numFmtId="0" fontId="12" fillId="0" borderId="0" xfId="0" applyFont="1" applyAlignment="1">
      <alignment wrapText="1"/>
    </xf>
    <xf numFmtId="165" fontId="1" fillId="0" borderId="0" xfId="0" applyNumberFormat="1" applyFont="1" applyAlignment="1">
      <alignment horizontal="center" vertical="center" wrapText="1"/>
    </xf>
    <xf numFmtId="165" fontId="13" fillId="0" borderId="0" xfId="0" applyNumberFormat="1" applyFont="1" applyAlignment="1">
      <alignment horizontal="center" vertical="center" wrapText="1"/>
    </xf>
    <xf numFmtId="0" fontId="17" fillId="0" borderId="0" xfId="0" applyFont="1" applyAlignment="1">
      <alignment horizontal="right" vertical="center" wrapText="1"/>
    </xf>
    <xf numFmtId="16" fontId="17" fillId="0" borderId="0" xfId="0" applyNumberFormat="1" applyFont="1" applyAlignment="1">
      <alignment horizontal="right" vertical="center" wrapText="1"/>
    </xf>
    <xf numFmtId="0" fontId="18" fillId="0" borderId="0" xfId="1" applyFont="1" applyAlignment="1">
      <alignment horizontal="left" vertical="center"/>
    </xf>
    <xf numFmtId="0" fontId="9" fillId="0" borderId="0" xfId="0" applyFont="1" applyAlignment="1">
      <alignment wrapText="1"/>
    </xf>
    <xf numFmtId="0" fontId="19" fillId="0" borderId="0" xfId="0" applyFont="1" applyAlignment="1">
      <alignment wrapText="1"/>
    </xf>
    <xf numFmtId="0" fontId="17" fillId="0" borderId="0" xfId="0" applyFont="1" applyAlignment="1">
      <alignment horizontal="left" vertical="center"/>
    </xf>
    <xf numFmtId="0" fontId="13" fillId="0" borderId="0" xfId="0" applyFont="1" applyAlignment="1">
      <alignment horizontal="left" vertical="center"/>
    </xf>
    <xf numFmtId="0" fontId="1"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vertical="center"/>
    </xf>
    <xf numFmtId="0" fontId="12" fillId="0" borderId="0" xfId="0" applyFont="1" applyAlignment="1">
      <alignment horizontal="left" vertical="center"/>
    </xf>
    <xf numFmtId="0" fontId="12" fillId="18" borderId="0" xfId="0" applyFont="1" applyFill="1" applyAlignment="1">
      <alignment vertical="center"/>
    </xf>
    <xf numFmtId="0" fontId="0" fillId="0" borderId="0" xfId="0" applyAlignment="1">
      <alignment horizontal="left" vertical="center"/>
    </xf>
    <xf numFmtId="0" fontId="0" fillId="18" borderId="0" xfId="0" applyFill="1" applyAlignment="1">
      <alignment vertical="center"/>
    </xf>
    <xf numFmtId="0" fontId="0" fillId="0" borderId="0" xfId="0" applyAlignment="1">
      <alignment vertical="center"/>
    </xf>
    <xf numFmtId="0" fontId="0" fillId="18" borderId="0" xfId="0" applyFill="1" applyAlignment="1">
      <alignment horizontal="left" vertical="center"/>
    </xf>
    <xf numFmtId="0" fontId="0" fillId="5" borderId="0" xfId="0" applyFill="1" applyAlignment="1">
      <alignment horizontal="left" vertical="center"/>
    </xf>
    <xf numFmtId="0" fontId="0" fillId="19" borderId="0" xfId="0" applyFill="1" applyAlignment="1">
      <alignment horizontal="left" vertical="center"/>
    </xf>
    <xf numFmtId="0" fontId="0" fillId="19" borderId="0" xfId="0" applyFill="1" applyAlignment="1">
      <alignment vertical="center"/>
    </xf>
    <xf numFmtId="0" fontId="0" fillId="0" borderId="0" xfId="0" applyAlignment="1">
      <alignment horizontal="center" vertical="center" wrapText="1"/>
    </xf>
    <xf numFmtId="0" fontId="16" fillId="0" borderId="0" xfId="0" applyFont="1" applyAlignment="1">
      <alignment horizontal="center" vertical="center" wrapText="1"/>
    </xf>
    <xf numFmtId="0" fontId="12" fillId="0" borderId="0" xfId="0" applyFont="1" applyAlignment="1">
      <alignment horizontal="center" vertical="center" wrapText="1"/>
    </xf>
    <xf numFmtId="0" fontId="12" fillId="18" borderId="0" xfId="0" applyFont="1" applyFill="1" applyAlignment="1">
      <alignment horizontal="center" vertical="center" wrapText="1"/>
    </xf>
    <xf numFmtId="0" fontId="0" fillId="18" borderId="0" xfId="0" applyFill="1" applyAlignment="1">
      <alignment horizontal="center" vertical="center" wrapText="1"/>
    </xf>
    <xf numFmtId="0" fontId="0" fillId="5" borderId="0" xfId="0" applyFill="1" applyAlignment="1">
      <alignment horizontal="center" vertical="center" wrapText="1"/>
    </xf>
    <xf numFmtId="0" fontId="0" fillId="19" borderId="0" xfId="0" applyFill="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right" vertical="center" wrapText="1"/>
    </xf>
    <xf numFmtId="16" fontId="20" fillId="0" borderId="0" xfId="0" applyNumberFormat="1" applyFont="1" applyAlignment="1">
      <alignment horizontal="right" vertical="center" wrapText="1"/>
    </xf>
    <xf numFmtId="0" fontId="21" fillId="0" borderId="0" xfId="1" applyFont="1" applyAlignment="1">
      <alignment horizontal="left" vertical="center"/>
    </xf>
  </cellXfs>
  <cellStyles count="2">
    <cellStyle name="Hyperlink" xfId="1" builtinId="8"/>
    <cellStyle name="Normal" xfId="0" builtinId="0"/>
  </cellStyles>
  <dxfs count="39">
    <dxf>
      <numFmt numFmtId="0" formatCode="General"/>
    </dxf>
    <dxf>
      <fill>
        <patternFill patternType="none">
          <fgColor indexed="64"/>
          <bgColor indexed="65"/>
        </patternFill>
      </fill>
      <alignment wrapText="1"/>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numFmt numFmtId="165" formatCode="[$-409]d\-mmm;@"/>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numFmt numFmtId="21" formatCode="d\-mmm"/>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right" vertical="center"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dxf>
    <dxf>
      <alignment wrapText="1"/>
    </dxf>
    <dxf>
      <fill>
        <patternFill patternType="none">
          <fgColor indexed="64"/>
          <bgColor indexed="65"/>
        </patternFill>
      </fill>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numFmt numFmtId="21" formatCode="d\-mmm"/>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dxf>
    <dxf>
      <fill>
        <patternFill patternType="none">
          <fgColor indexed="64"/>
          <bgColor indexed="65"/>
        </patternFill>
      </fill>
      <alignment horizontal="center" vertical="center" textRotation="0" wrapText="1" indent="0" justifyLastLine="0" shrinkToFit="0" readingOrder="0"/>
    </dxf>
    <dxf>
      <alignment vertical="center" textRotation="0" wrapText="1" indent="0" justifyLastLine="0" shrinkToFit="0" readingOrder="0"/>
    </dxf>
    <dxf>
      <fill>
        <patternFill patternType="none">
          <fgColor indexed="64"/>
          <bgColor indexed="65"/>
        </patternFill>
      </fill>
      <alignment horizontal="center" vertical="bottom" textRotation="0" wrapText="1" indent="0" justifyLastLine="0" shrinkToFit="0" readingOrder="0"/>
    </dxf>
  </dxfs>
  <tableStyles count="0" defaultTableStyle="TableStyleMedium2" defaultPivotStyle="PivotStyleLight16"/>
  <colors>
    <mruColors>
      <color rgb="FF9C0006"/>
      <color rgb="FFFFC7CE"/>
      <color rgb="FF0F26D6"/>
      <color rgb="FFF76307"/>
      <color rgb="FFD3E257"/>
      <color rgb="FFC4E206"/>
      <color rgb="FF0AF5BE"/>
      <color rgb="FFFAE1F8"/>
      <color rgb="FFF2E4F1"/>
      <color rgb="FFF8FA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0.458905324071" createdVersion="8" refreshedVersion="8" minRefreshableVersion="3" recordCount="40" xr:uid="{0B90A036-6210-439B-AADF-75D269D74A4F}">
  <cacheSource type="worksheet">
    <worksheetSource ref="E1:H41" sheet="Dept &amp; Cnt"/>
  </cacheSource>
  <cacheFields count="4">
    <cacheField name="Abbreviation" numFmtId="0">
      <sharedItems/>
    </cacheField>
    <cacheField name="Full Department Name" numFmtId="0">
      <sharedItems/>
    </cacheField>
    <cacheField name="Head Count" numFmtId="0">
      <sharedItems containsString="0" containsBlank="1" containsNumber="1" containsInteger="1" minValue="1" maxValue="3507"/>
    </cacheField>
    <cacheField name="Quarter" numFmtId="0">
      <sharedItems containsSemiMixedTypes="0" containsString="0" containsNumber="1" containsInteger="1" minValue="0" maxValue="4" count="5">
        <n v="2"/>
        <n v="4"/>
        <n v="3"/>
        <n v="1"/>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AUD"/>
    <s v="Church Auditing Department"/>
    <n v="79"/>
    <x v="0"/>
  </r>
  <r>
    <s v="BPW"/>
    <s v="BYU–Pathway Worldwide"/>
    <n v="357"/>
    <x v="1"/>
  </r>
  <r>
    <s v="CCD"/>
    <s v="Church Communication Department"/>
    <n v="108"/>
    <x v="1"/>
  </r>
  <r>
    <s v="CCO"/>
    <s v="Church Commissioners Office"/>
    <n v="11"/>
    <x v="1"/>
  </r>
  <r>
    <s v="CES"/>
    <s v="Church Educational System"/>
    <n v="1"/>
    <x v="2"/>
  </r>
  <r>
    <s v="CHD"/>
    <s v="Church History Department"/>
    <n v="291"/>
    <x v="0"/>
  </r>
  <r>
    <s v="COR"/>
    <s v="Correlation Department"/>
    <n v="102"/>
    <x v="2"/>
  </r>
  <r>
    <s v="CSD"/>
    <s v="Church Security Department"/>
    <n v="272"/>
    <x v="3"/>
  </r>
  <r>
    <s v="DFC"/>
    <s v="Deseret Financial Corporation"/>
    <n v="2"/>
    <x v="1"/>
  </r>
  <r>
    <s v="DMB"/>
    <s v="Deseret Mutual Benefits Admin"/>
    <n v="23"/>
    <x v="1"/>
  </r>
  <r>
    <s v="DTA"/>
    <s v="Directors for Temporal Affairs"/>
    <n v="151"/>
    <x v="0"/>
  </r>
  <r>
    <s v="DTC"/>
    <s v="Deseret Trust Company"/>
    <n v="24"/>
    <x v="0"/>
  </r>
  <r>
    <s v="EPA"/>
    <s v="Ensign Peak Advisors"/>
    <n v="98"/>
    <x v="1"/>
  </r>
  <r>
    <s v="FHD"/>
    <s v="Family History Department"/>
    <n v="943"/>
    <x v="2"/>
  </r>
  <r>
    <s v="FRD"/>
    <s v="Finance and Records Department"/>
    <n v="332"/>
    <x v="2"/>
  </r>
  <r>
    <s v="GAO"/>
    <s v="General Authorities Office"/>
    <m/>
    <x v="3"/>
  </r>
  <r>
    <s v="GSD"/>
    <s v="Global Services Department"/>
    <n v="426"/>
    <x v="0"/>
  </r>
  <r>
    <s v="HQF"/>
    <s v="Headquarters Facilities Department"/>
    <n v="777"/>
    <x v="3"/>
  </r>
  <r>
    <s v="HRD"/>
    <s v="Human Resource Department"/>
    <n v="236"/>
    <x v="2"/>
  </r>
  <r>
    <s v="ICS"/>
    <s v="Information and Communication Services Department"/>
    <n v="1293"/>
    <x v="3"/>
  </r>
  <r>
    <s v="MFD"/>
    <s v="Meetinghouse Facilities Department"/>
    <n v="342"/>
    <x v="2"/>
  </r>
  <r>
    <s v="MIS"/>
    <s v="Missionary Department"/>
    <n v="2076"/>
    <x v="0"/>
  </r>
  <r>
    <s v="MMD"/>
    <s v="Materials Management Department"/>
    <n v="1666"/>
    <x v="2"/>
  </r>
  <r>
    <s v="OFP"/>
    <s v="Office of the First Presidency"/>
    <n v="10"/>
    <x v="0"/>
  </r>
  <r>
    <s v="OGC"/>
    <s v="Office of General Counsel"/>
    <n v="36"/>
    <x v="0"/>
  </r>
  <r>
    <s v="PBA"/>
    <s v="Presiding Bishopric Administration"/>
    <n v="16"/>
    <x v="0"/>
  </r>
  <r>
    <s v="PBO"/>
    <s v="Presiding Bishopric OFFICE"/>
    <m/>
    <x v="0"/>
  </r>
  <r>
    <s v="PBI"/>
    <s v="PBO International Assignment (PBO = Area Offices)"/>
    <n v="43"/>
    <x v="0"/>
  </r>
  <r>
    <s v="PHP"/>
    <s v="Philanthropies Department"/>
    <n v="85"/>
    <x v="1"/>
  </r>
  <r>
    <s v="PRI"/>
    <s v="Property Reserve Inc."/>
    <n v="110"/>
    <x v="1"/>
  </r>
  <r>
    <s v="PSD"/>
    <s v="Publishing Services Department"/>
    <n v="847"/>
    <x v="2"/>
  </r>
  <r>
    <s v="PTH"/>
    <s v="Priesthood and Family Department"/>
    <n v="208"/>
    <x v="2"/>
  </r>
  <r>
    <s v="QSV"/>
    <s v="Quorum of the Seventy"/>
    <n v="59"/>
    <x v="0"/>
  </r>
  <r>
    <s v="QTW"/>
    <s v="Quorum of the Twelve"/>
    <n v="29"/>
    <x v="0"/>
  </r>
  <r>
    <s v="SAI"/>
    <s v="Seminaries and Institutes (+q3)"/>
    <n v="1967"/>
    <x v="0"/>
  </r>
  <r>
    <s v="SPD"/>
    <s v="Special Projects Department"/>
    <n v="571"/>
    <x v="0"/>
  </r>
  <r>
    <s v="TBC"/>
    <s v="Tabernacle Choir (500?)"/>
    <n v="520"/>
    <x v="3"/>
  </r>
  <r>
    <s v="TPL"/>
    <s v="Temple Department"/>
    <n v="450"/>
    <x v="0"/>
  </r>
  <r>
    <s v="TRF"/>
    <s v="Trasher Research Fund"/>
    <n v="4"/>
    <x v="1"/>
  </r>
  <r>
    <s v="WSR"/>
    <s v="Welfare and Self-Reliance Services"/>
    <n v="350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D98420-D1D0-453B-AE10-1C6E7798B221}"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M3" firstHeaderRow="1" firstDataRow="2" firstDataCol="1"/>
  <pivotFields count="4">
    <pivotField compact="0" outline="0" showAll="0"/>
    <pivotField compact="0" outline="0" showAll="0"/>
    <pivotField dataField="1" compact="0" outline="0" showAll="0"/>
    <pivotField axis="axisCol" compact="0" outline="0" showAll="0">
      <items count="6">
        <item h="1" m="1" x="4"/>
        <item x="3"/>
        <item x="0"/>
        <item x="2"/>
        <item x="1"/>
        <item t="default"/>
      </items>
    </pivotField>
  </pivotFields>
  <rowItems count="1">
    <i/>
  </rowItems>
  <colFields count="1">
    <field x="3"/>
  </colFields>
  <colItems count="5">
    <i>
      <x v="1"/>
    </i>
    <i>
      <x v="2"/>
    </i>
    <i>
      <x v="3"/>
    </i>
    <i>
      <x v="4"/>
    </i>
    <i t="grand">
      <x/>
    </i>
  </colItems>
  <dataFields count="1">
    <dataField name="Sum of Head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23C03-D950-C446-9617-096D29F18A2F}" name="Table22" displayName="Table22" ref="A1:J41" totalsRowShown="0" headerRowDxfId="38" dataDxfId="37">
  <autoFilter ref="A1:J41" xr:uid="{3506A0A5-8EA9-4F11-87ED-27555EACF44F}"/>
  <sortState xmlns:xlrd2="http://schemas.microsoft.com/office/spreadsheetml/2017/richdata2" ref="A2:J41">
    <sortCondition ref="H1:H41"/>
  </sortState>
  <tableColumns count="10">
    <tableColumn id="1" xr3:uid="{D10700FC-D379-1947-B4C9-3B220B313E71}" name="Dept" dataDxfId="36"/>
    <tableColumn id="2" xr3:uid="{58F83764-7E7B-0748-8783-AF94C6A0B8CF}" name="Full Department Name" dataDxfId="35"/>
    <tableColumn id="23" xr3:uid="{26D21841-ACFD-3D41-A7D4-733197F361A3}" name="Portfolio" dataDxfId="34"/>
    <tableColumn id="3" xr3:uid="{C10D3F38-315A-2D42-971D-94CEAB10304F}" name="Head Count" dataDxfId="33"/>
    <tableColumn id="4" xr3:uid="{1D73667E-1172-514C-A3FC-BA6E68CDC402}" name="User Count"/>
    <tableColumn id="5" xr3:uid="{D9BF1378-F7E8-0441-AF00-3138B28F67AA}" name="Conversion rate" dataDxfId="0">
      <calculatedColumnFormula>ROUND(Table22[[#This Row],[User Count]]/Table22[[#This Row],[Head Count]]*100,0)</calculatedColumnFormula>
    </tableColumn>
    <tableColumn id="16" xr3:uid="{4A2984EB-AF44-AE41-B3F2-A43D7D7888A9}" name="quarter" dataDxfId="32"/>
    <tableColumn id="15" xr3:uid="{0B512C43-8636-1C4C-ACC2-5B50FAE890C7}" name="Rollout Date" dataDxfId="31"/>
    <tableColumn id="18" xr3:uid="{3E356119-D39F-7D43-9F2E-FD0DBF72BAC0}" name="Day of Wk" dataDxfId="30">
      <calculatedColumnFormula>TEXT(Table22[[#This Row],[Rollout Date]],"ddd")</calculatedColumnFormula>
    </tableColumn>
    <tableColumn id="19" xr3:uid="{D5E37527-64FF-3E43-BA80-803F9776A83A}" name="Bldg" dataDxfId="2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878003-48C1-B14B-B266-DDCA504F2513}" name="Table3" displayName="Table3" ref="A1:D15" totalsRowShown="0" headerRowDxfId="28" dataDxfId="27">
  <autoFilter ref="A1:D15" xr:uid="{2D878003-48C1-B14B-B266-DDCA504F2513}"/>
  <tableColumns count="4">
    <tableColumn id="1" xr3:uid="{49AEA2BB-4D3D-B644-A8A3-D6FD6F4F28F7}" name="Portfolio" dataDxfId="26"/>
    <tableColumn id="2" xr3:uid="{76A6FEAD-E003-3A45-9177-3E6593C6A728}" name="Portfolio Type" dataDxfId="25"/>
    <tableColumn id="3" xr3:uid="{A2A983E4-876E-A145-A197-0F604500A22C}" name="Portfolio Director" dataDxfId="24"/>
    <tableColumn id="4" xr3:uid="{E97FEC5D-5081-5F4C-B121-4922C6AAA99F}" name="Departments Covered" dataDxfId="2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06A0A5-8EA9-4F11-87ED-27555EACF44F}" name="Table2" displayName="Table2" ref="A1:T41" totalsRowShown="0" headerRowDxfId="22" dataDxfId="21">
  <autoFilter ref="A1:T41" xr:uid="{3506A0A5-8EA9-4F11-87ED-27555EACF44F}"/>
  <sortState xmlns:xlrd2="http://schemas.microsoft.com/office/spreadsheetml/2017/richdata2" ref="A2:T41">
    <sortCondition ref="E1:E41"/>
  </sortState>
  <tableColumns count="20">
    <tableColumn id="1" xr3:uid="{8CAA1C8F-6C2A-4C8A-8A77-203DDD7F27BA}" name="Dept" dataDxfId="20"/>
    <tableColumn id="2" xr3:uid="{4B97B6C6-587E-4FA7-9C5D-02C22A36C004}" name="Full Department Name" dataDxfId="19"/>
    <tableColumn id="3" xr3:uid="{B5955F01-DD31-4219-BCBF-566F397EAA90}" name="Count" dataDxfId="18"/>
    <tableColumn id="16" xr3:uid="{15DD7D1C-A933-452A-9125-C2D321A72811}" name="qtr" dataDxfId="17"/>
    <tableColumn id="15" xr3:uid="{C4D9B83D-372C-4D0F-B372-6BA7822A96B6}" name="Rollout Date" dataDxfId="16"/>
    <tableColumn id="18" xr3:uid="{C132FB8F-EBED-4306-B836-600BA9F1CD65}" name="Day of Wk" dataDxfId="15">
      <calculatedColumnFormula>TEXT(Table2[[#This Row],[Rollout Date]],"ddd")</calculatedColumnFormula>
    </tableColumn>
    <tableColumn id="17" xr3:uid="{FF37EF72-3EF2-4FE4-8AAC-0A137D23DDF3}" name="UserList to ID" dataDxfId="14"/>
    <tableColumn id="20" xr3:uid="{2387394A-3635-4D71-AFBF-3FCC9187CDBB}" name="Comm Steward" dataDxfId="13"/>
    <tableColumn id="5" xr3:uid="{E5F748F6-18D5-4A71-A895-5BE19D13B8B6}" name="Comm Steward Email" dataDxfId="12"/>
    <tableColumn id="19" xr3:uid="{BD335F61-5447-49B0-B349-99927B0CBC7A}" name="Bldg" dataDxfId="11"/>
    <tableColumn id="7" xr3:uid="{F9AB7EEC-22CE-49CF-B883-33C4102EC93E}" name="3mo Dept Head Meeting" dataDxfId="10"/>
    <tableColumn id="6" xr3:uid="{E64BB047-0729-49C0-86C2-64D0FDB6AEEA}" name="2mo CommPkg" dataDxfId="9"/>
    <tableColumn id="8" xr3:uid="{75F8D731-9D70-4BEF-AB0A-1A4E8BD5F8EA}" name="1mo 2nd email followup" dataDxfId="8"/>
    <tableColumn id="10" xr3:uid="{C579B770-E64D-4A22-A7F4-D5524E07EDCA}" name="1mo TownHall Meeting Notice" dataDxfId="7"/>
    <tableColumn id="9" xr3:uid="{7224062F-FB8B-4200-B61D-69971B9F92C9}" name="3wk 1st TowmHall Meeting" dataDxfId="6"/>
    <tableColumn id="13" xr3:uid="{AA56D83F-37F9-420C-B5BB-36324D12E7F3}" name="1wk 3rd email followup" dataDxfId="5"/>
    <tableColumn id="12" xr3:uid="{6B106306-7EBB-4693-A191-A6D411CB47DE}" name="1wk 2nd TownHall Meeting" dataDxfId="4"/>
    <tableColumn id="11" xr3:uid="{82F3E219-32C5-438A-8770-124F6D0C3E3C}" name="1day NextDay Reminder Followup" dataDxfId="3"/>
    <tableColumn id="14" xr3:uid="{C26ECC1C-C58C-4C5E-8AE0-F49AF2C9F984}" name="3wk PostRollout phycal Badge TurnIn Reminder" dataDxfId="2"/>
    <tableColumn id="4" xr3:uid="{AAB8A05F-D445-4F61-B0CD-50A4E082A54B}" name="Note" dataDxfId="1"/>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mailto:Kristy.Gates@ChurchofJesusChrist.org" TargetMode="External"/><Relationship Id="rId13" Type="http://schemas.openxmlformats.org/officeDocument/2006/relationships/hyperlink" Target="mailto:Kristi.Nye@ChurchofJesusChrist.org" TargetMode="External"/><Relationship Id="rId18" Type="http://schemas.openxmlformats.org/officeDocument/2006/relationships/hyperlink" Target="mailto:Lise.Bennett@ChurchofJesusChrist.org" TargetMode="External"/><Relationship Id="rId26" Type="http://schemas.openxmlformats.org/officeDocument/2006/relationships/hyperlink" Target="mailto:Lyndi.Petersen@ChurchofJesusChrist.org" TargetMode="External"/><Relationship Id="rId3" Type="http://schemas.openxmlformats.org/officeDocument/2006/relationships/hyperlink" Target="mailto:Sydney.Anderson@ChurchofJesusChrist.org" TargetMode="External"/><Relationship Id="rId21" Type="http://schemas.openxmlformats.org/officeDocument/2006/relationships/hyperlink" Target="mailto:Trina.Smith@ChurchofJesusChrist.org" TargetMode="External"/><Relationship Id="rId7" Type="http://schemas.openxmlformats.org/officeDocument/2006/relationships/hyperlink" Target="mailto:Karin.Hardy@deserettrust.com" TargetMode="External"/><Relationship Id="rId12" Type="http://schemas.openxmlformats.org/officeDocument/2006/relationships/hyperlink" Target="mailto:EmilySmith@churchofjesuschrist.org" TargetMode="External"/><Relationship Id="rId17" Type="http://schemas.openxmlformats.org/officeDocument/2006/relationships/hyperlink" Target="mailto:laurenmajor@ChurchofJesusChrist.org" TargetMode="External"/><Relationship Id="rId25" Type="http://schemas.openxmlformats.org/officeDocument/2006/relationships/hyperlink" Target="mailto:Natalie.Dahl@churchofjesuschrist.org" TargetMode="External"/><Relationship Id="rId2" Type="http://schemas.openxmlformats.org/officeDocument/2006/relationships/hyperlink" Target="mailto:Nicole.Berry@churchofjesuschrist.org" TargetMode="External"/><Relationship Id="rId16" Type="http://schemas.openxmlformats.org/officeDocument/2006/relationships/hyperlink" Target="mailto:Jared.Bray@ChurchofJesusChrist.org" TargetMode="External"/><Relationship Id="rId20" Type="http://schemas.openxmlformats.org/officeDocument/2006/relationships/hyperlink" Target="mailto:sharon.walton@ChurchofJesusChrist.org" TargetMode="External"/><Relationship Id="rId1" Type="http://schemas.openxmlformats.org/officeDocument/2006/relationships/hyperlink" Target="mailto:Jeff.Herbert@ChurchofJesusChrist.org" TargetMode="External"/><Relationship Id="rId6" Type="http://schemas.openxmlformats.org/officeDocument/2006/relationships/hyperlink" Target="mailto:WatsonES@churchofjesuschrist.org" TargetMode="External"/><Relationship Id="rId11" Type="http://schemas.openxmlformats.org/officeDocument/2006/relationships/hyperlink" Target="mailto:MarilynJune.Johnson@ChurchofJesusChrist.org" TargetMode="External"/><Relationship Id="rId24" Type="http://schemas.openxmlformats.org/officeDocument/2006/relationships/hyperlink" Target="mailto:Kelly.Taylor@tabchoir.org" TargetMode="External"/><Relationship Id="rId5" Type="http://schemas.openxmlformats.org/officeDocument/2006/relationships/hyperlink" Target="mailto:Janette.Watts@ChurchofJesusChrist.org" TargetMode="External"/><Relationship Id="rId15" Type="http://schemas.openxmlformats.org/officeDocument/2006/relationships/hyperlink" Target="mailto:jeff.tucker@ChurchofJesusChrist.org" TargetMode="External"/><Relationship Id="rId23" Type="http://schemas.openxmlformats.org/officeDocument/2006/relationships/hyperlink" Target="mailto:christensens@ChurchofJesusChrist.org" TargetMode="External"/><Relationship Id="rId28" Type="http://schemas.openxmlformats.org/officeDocument/2006/relationships/table" Target="../tables/table3.xml"/><Relationship Id="rId10" Type="http://schemas.openxmlformats.org/officeDocument/2006/relationships/hyperlink" Target="mailto:Kate.Lencioni@FamilySearch.org" TargetMode="External"/><Relationship Id="rId19" Type="http://schemas.openxmlformats.org/officeDocument/2006/relationships/hyperlink" Target="mailto:tom.denton@ChurchofJesusChrist.org" TargetMode="External"/><Relationship Id="rId4" Type="http://schemas.openxmlformats.org/officeDocument/2006/relationships/hyperlink" Target="mailto:Jenda.Nye@churchofjesuschrist.org" TargetMode="External"/><Relationship Id="rId9" Type="http://schemas.openxmlformats.org/officeDocument/2006/relationships/hyperlink" Target="mailto:stacey.green@ensignpeak.org" TargetMode="External"/><Relationship Id="rId14" Type="http://schemas.openxmlformats.org/officeDocument/2006/relationships/hyperlink" Target="mailto:mycalling@ChurchofJesusChrist.org" TargetMode="External"/><Relationship Id="rId22" Type="http://schemas.openxmlformats.org/officeDocument/2006/relationships/hyperlink" Target="mailto:Andrea.Hellewell@churchofjesuschrist.org" TargetMode="External"/><Relationship Id="rId27" Type="http://schemas.openxmlformats.org/officeDocument/2006/relationships/hyperlink" Target="mailto:PBO1@ChurchofJesusChrist.org"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Rachelle.Davies@ChurchofJesusChrist.org" TargetMode="External"/><Relationship Id="rId21" Type="http://schemas.openxmlformats.org/officeDocument/2006/relationships/hyperlink" Target="mailto:RockwoodST@familysearch.org" TargetMode="External"/><Relationship Id="rId42" Type="http://schemas.openxmlformats.org/officeDocument/2006/relationships/hyperlink" Target="mailto:solomon@ChurchofJesusChrist.org" TargetMode="External"/><Relationship Id="rId47" Type="http://schemas.openxmlformats.org/officeDocument/2006/relationships/hyperlink" Target="mailto:halljb@churchofjesuschrist.org" TargetMode="External"/><Relationship Id="rId63" Type="http://schemas.openxmlformats.org/officeDocument/2006/relationships/hyperlink" Target="mailto:mackeyjm@churchofjesuschrist.org" TargetMode="External"/><Relationship Id="rId68" Type="http://schemas.openxmlformats.org/officeDocument/2006/relationships/hyperlink" Target="mailto:RomneyK@ChurchofJesusChrist.org" TargetMode="External"/><Relationship Id="rId84" Type="http://schemas.openxmlformats.org/officeDocument/2006/relationships/hyperlink" Target="mailto:RobertsBW@churchofjesuschrist.org" TargetMode="External"/><Relationship Id="rId89" Type="http://schemas.openxmlformats.org/officeDocument/2006/relationships/hyperlink" Target="mailto:blaine.maxfield@ChurchofJesusChrist.org" TargetMode="External"/><Relationship Id="rId16" Type="http://schemas.openxmlformats.org/officeDocument/2006/relationships/hyperlink" Target="mailto:Karin.Hardy@deserettrust.com" TargetMode="External"/><Relationship Id="rId11" Type="http://schemas.openxmlformats.org/officeDocument/2006/relationships/hyperlink" Target="mailto:Megan.Nybo@ChurchofJesusChrist.org" TargetMode="External"/><Relationship Id="rId32" Type="http://schemas.openxmlformats.org/officeDocument/2006/relationships/hyperlink" Target="mailto:KelseySM@ChurchofJesusChrist.org" TargetMode="External"/><Relationship Id="rId37" Type="http://schemas.openxmlformats.org/officeDocument/2006/relationships/hyperlink" Target="mailto:comchamb@churchofjesuschrist.org" TargetMode="External"/><Relationship Id="rId53" Type="http://schemas.openxmlformats.org/officeDocument/2006/relationships/hyperlink" Target="mailto:cardonr@ChurchofJesusChrist.org" TargetMode="External"/><Relationship Id="rId58" Type="http://schemas.openxmlformats.org/officeDocument/2006/relationships/hyperlink" Target="mailto:GreenDe@churchofjesuschrist.org" TargetMode="External"/><Relationship Id="rId74" Type="http://schemas.openxmlformats.org/officeDocument/2006/relationships/hyperlink" Target="mailto:CarrieOHagan@ChurchofJesusChrist.org" TargetMode="External"/><Relationship Id="rId79" Type="http://schemas.openxmlformats.org/officeDocument/2006/relationships/hyperlink" Target="mailto:sharon.walton@ChurchofJesusChrist.org" TargetMode="External"/><Relationship Id="rId5" Type="http://schemas.openxmlformats.org/officeDocument/2006/relationships/hyperlink" Target="mailto:mjgrow@churchofjesuschrist.org" TargetMode="External"/><Relationship Id="rId14" Type="http://schemas.openxmlformats.org/officeDocument/2006/relationships/hyperlink" Target="mailto:mashburnw@deserettrust.com" TargetMode="External"/><Relationship Id="rId22" Type="http://schemas.openxmlformats.org/officeDocument/2006/relationships/hyperlink" Target="mailto:Brooke.Cohen@FamilySearch.org" TargetMode="External"/><Relationship Id="rId27" Type="http://schemas.openxmlformats.org/officeDocument/2006/relationships/hyperlink" Target="mailto:jilljacobson1@churchofjesuschrist.org" TargetMode="External"/><Relationship Id="rId30" Type="http://schemas.openxmlformats.org/officeDocument/2006/relationships/hyperlink" Target="mailto:johnson.ruth@ChurchofJesusChrist.org" TargetMode="External"/><Relationship Id="rId35" Type="http://schemas.openxmlformats.org/officeDocument/2006/relationships/hyperlink" Target="mailto:Pete@churchofjesuschrist.org" TargetMode="External"/><Relationship Id="rId43" Type="http://schemas.openxmlformats.org/officeDocument/2006/relationships/hyperlink" Target="mailto:knielson@churchofjesuschrist.org" TargetMode="External"/><Relationship Id="rId48" Type="http://schemas.openxmlformats.org/officeDocument/2006/relationships/hyperlink" Target="mailto:WardRM@churchofjesuschrist.org" TargetMode="External"/><Relationship Id="rId56" Type="http://schemas.openxmlformats.org/officeDocument/2006/relationships/hyperlink" Target="mailto:Wick@ChurchofJesusChrist.org" TargetMode="External"/><Relationship Id="rId64" Type="http://schemas.openxmlformats.org/officeDocument/2006/relationships/hyperlink" Target="mailto:clark@ChurchofJesusChrist.org" TargetMode="External"/><Relationship Id="rId69" Type="http://schemas.openxmlformats.org/officeDocument/2006/relationships/hyperlink" Target="mailto:Kimberly.Heath@churchofjesuschrist.org" TargetMode="External"/><Relationship Id="rId77" Type="http://schemas.openxmlformats.org/officeDocument/2006/relationships/hyperlink" Target="mailto:MRichards@churchofjesuschrist.org" TargetMode="External"/><Relationship Id="rId8" Type="http://schemas.openxmlformats.org/officeDocument/2006/relationships/hyperlink" Target="mailto:Janette.Watts@ChurchofJesusChrist.org" TargetMode="External"/><Relationship Id="rId51" Type="http://schemas.openxmlformats.org/officeDocument/2006/relationships/hyperlink" Target="mailto:j.thompson@ChurchofJesusChrist.org" TargetMode="External"/><Relationship Id="rId72" Type="http://schemas.openxmlformats.org/officeDocument/2006/relationships/hyperlink" Target="mailto:dnweidman@churchofjesuschrist.org" TargetMode="External"/><Relationship Id="rId80" Type="http://schemas.openxmlformats.org/officeDocument/2006/relationships/hyperlink" Target="mailto:IsomJD@churchofjesuschrist.org" TargetMode="External"/><Relationship Id="rId85" Type="http://schemas.openxmlformats.org/officeDocument/2006/relationships/hyperlink" Target="mailto:christensens@ChurchofJesusChrist.org" TargetMode="External"/><Relationship Id="rId3" Type="http://schemas.openxmlformats.org/officeDocument/2006/relationships/hyperlink" Target="mailto:Aaron.Sherinian@ChurchofJesusChrist.org" TargetMode="External"/><Relationship Id="rId12" Type="http://schemas.openxmlformats.org/officeDocument/2006/relationships/hyperlink" Target="mailto:Jaelyn.Hansen@ChurchofJesusChrist.org" TargetMode="External"/><Relationship Id="rId17" Type="http://schemas.openxmlformats.org/officeDocument/2006/relationships/hyperlink" Target="mailto:Amanda.Buxton@deserettrust.com" TargetMode="External"/><Relationship Id="rId25" Type="http://schemas.openxmlformats.org/officeDocument/2006/relationships/hyperlink" Target="mailto:jeffridge@ChurchofJesusChrist.org" TargetMode="External"/><Relationship Id="rId33" Type="http://schemas.openxmlformats.org/officeDocument/2006/relationships/hyperlink" Target="mailto:DurrantJD@churchofjesuschrist.org" TargetMode="External"/><Relationship Id="rId38" Type="http://schemas.openxmlformats.org/officeDocument/2006/relationships/hyperlink" Target="mailto:Blake.Heringer@churchofjesuschrist.org" TargetMode="External"/><Relationship Id="rId46" Type="http://schemas.openxmlformats.org/officeDocument/2006/relationships/hyperlink" Target="mailto:greenmp@churchofjesuschrist.org" TargetMode="External"/><Relationship Id="rId59" Type="http://schemas.openxmlformats.org/officeDocument/2006/relationships/hyperlink" Target="mailto:Brad.Dew@ChurchofJesusChrist.org" TargetMode="External"/><Relationship Id="rId67" Type="http://schemas.openxmlformats.org/officeDocument/2006/relationships/hyperlink" Target="mailto:Dennis.Taggart@ChurchofJesusChrist.org" TargetMode="External"/><Relationship Id="rId20" Type="http://schemas.openxmlformats.org/officeDocument/2006/relationships/hyperlink" Target="mailto:JonesME@churchofjesuschrist.org" TargetMode="External"/><Relationship Id="rId41" Type="http://schemas.openxmlformats.org/officeDocument/2006/relationships/hyperlink" Target="mailto:UlloaRA@churchofjesuschrist.org" TargetMode="External"/><Relationship Id="rId54" Type="http://schemas.openxmlformats.org/officeDocument/2006/relationships/hyperlink" Target="mailto:adlowry99@churchofjesuschrist.org" TargetMode="External"/><Relationship Id="rId62" Type="http://schemas.openxmlformats.org/officeDocument/2006/relationships/hyperlink" Target="mailto:RomrellLG@churchofjesuschrist.org" TargetMode="External"/><Relationship Id="rId70" Type="http://schemas.openxmlformats.org/officeDocument/2006/relationships/hyperlink" Target="mailto:Eric.Conrad@churchofjesuschrist.org" TargetMode="External"/><Relationship Id="rId75" Type="http://schemas.openxmlformats.org/officeDocument/2006/relationships/hyperlink" Target="mailto:WrightLA@churchofjesuschrist.org" TargetMode="External"/><Relationship Id="rId83" Type="http://schemas.openxmlformats.org/officeDocument/2006/relationships/hyperlink" Target="mailto:FernandezEX@churchofjesuschrist.org" TargetMode="External"/><Relationship Id="rId88" Type="http://schemas.openxmlformats.org/officeDocument/2006/relationships/hyperlink" Target="mailto:whitneybrown@ChurchofJesusChrist.org" TargetMode="External"/><Relationship Id="rId1" Type="http://schemas.openxmlformats.org/officeDocument/2006/relationships/hyperlink" Target="mailto:jblarson@churchofjesuschrist.org" TargetMode="External"/><Relationship Id="rId6" Type="http://schemas.openxmlformats.org/officeDocument/2006/relationships/hyperlink" Target="mailto:Emily.Davis@ChurchofJesusChrist.org" TargetMode="External"/><Relationship Id="rId15" Type="http://schemas.openxmlformats.org/officeDocument/2006/relationships/hyperlink" Target="mailto:Matt.Lawrence@deserettrust.com" TargetMode="External"/><Relationship Id="rId23" Type="http://schemas.openxmlformats.org/officeDocument/2006/relationships/hyperlink" Target="mailto:jergensenkr@churchofjesuschrist.org" TargetMode="External"/><Relationship Id="rId28" Type="http://schemas.openxmlformats.org/officeDocument/2006/relationships/hyperlink" Target="mailto:Amy.Hanks@churchofjesuschrist.org" TargetMode="External"/><Relationship Id="rId36" Type="http://schemas.openxmlformats.org/officeDocument/2006/relationships/hyperlink" Target="mailto:schadesr@churchofjesuschrist.org" TargetMode="External"/><Relationship Id="rId49" Type="http://schemas.openxmlformats.org/officeDocument/2006/relationships/hyperlink" Target="mailto:todd.anderson@ChurchofJesusChrist.org" TargetMode="External"/><Relationship Id="rId57" Type="http://schemas.openxmlformats.org/officeDocument/2006/relationships/hyperlink" Target="mailto:Bryant.Marcum@churchofjesuschrist.org" TargetMode="External"/><Relationship Id="rId10" Type="http://schemas.openxmlformats.org/officeDocument/2006/relationships/hyperlink" Target="mailto:WatsonES@churchofjesuschrist.org" TargetMode="External"/><Relationship Id="rId31" Type="http://schemas.openxmlformats.org/officeDocument/2006/relationships/hyperlink" Target="mailto:Elizabeth.Whisamore@ChurchofJesusChrist.org" TargetMode="External"/><Relationship Id="rId44" Type="http://schemas.openxmlformats.org/officeDocument/2006/relationships/hyperlink" Target="mailto:darrinwilkey@churchofjesuschrist.org" TargetMode="External"/><Relationship Id="rId52" Type="http://schemas.openxmlformats.org/officeDocument/2006/relationships/hyperlink" Target="mailto:Brent.Harris@ChurchofJesusChrist.org" TargetMode="External"/><Relationship Id="rId60" Type="http://schemas.openxmlformats.org/officeDocument/2006/relationships/hyperlink" Target="mailto:NellisB@churchofjesuschrist.org" TargetMode="External"/><Relationship Id="rId65" Type="http://schemas.openxmlformats.org/officeDocument/2006/relationships/hyperlink" Target="mailto:BrewerKe@churchofjesuschrist.org" TargetMode="External"/><Relationship Id="rId73" Type="http://schemas.openxmlformats.org/officeDocument/2006/relationships/hyperlink" Target="mailto:dchanner@churchofjesuschrist.org" TargetMode="External"/><Relationship Id="rId78" Type="http://schemas.openxmlformats.org/officeDocument/2006/relationships/hyperlink" Target="mailto:jason.mitchell@ChurchofJesusChrist.org" TargetMode="External"/><Relationship Id="rId81" Type="http://schemas.openxmlformats.org/officeDocument/2006/relationships/hyperlink" Target="mailto:Alanna.Kemavor@churchofjesuschrist.org" TargetMode="External"/><Relationship Id="rId86" Type="http://schemas.openxmlformats.org/officeDocument/2006/relationships/hyperlink" Target="mailto:suhakamj@churchofjesuschrist.org" TargetMode="External"/><Relationship Id="rId4" Type="http://schemas.openxmlformats.org/officeDocument/2006/relationships/hyperlink" Target="mailto:Roma.Myers@churchofjesuschrist.org" TargetMode="External"/><Relationship Id="rId9" Type="http://schemas.openxmlformats.org/officeDocument/2006/relationships/hyperlink" Target="mailto:broadbentb@churchofjesuschrist.org" TargetMode="External"/><Relationship Id="rId13" Type="http://schemas.openxmlformats.org/officeDocument/2006/relationships/hyperlink" Target="mailto:Nancy.Johnson@churchofjesuschrist.org" TargetMode="External"/><Relationship Id="rId18" Type="http://schemas.openxmlformats.org/officeDocument/2006/relationships/hyperlink" Target="mailto:ReedGE@churchofjesuschrist.org" TargetMode="External"/><Relationship Id="rId39" Type="http://schemas.openxmlformats.org/officeDocument/2006/relationships/hyperlink" Target="mailto:matt@ChurchofJesusChrist.org" TargetMode="External"/><Relationship Id="rId34" Type="http://schemas.openxmlformats.org/officeDocument/2006/relationships/hyperlink" Target="mailto:NancollasD@churchofjesuschrist.org" TargetMode="External"/><Relationship Id="rId50" Type="http://schemas.openxmlformats.org/officeDocument/2006/relationships/hyperlink" Target="mailto:trent.williams@ChurchofJesusChrist.org" TargetMode="External"/><Relationship Id="rId55" Type="http://schemas.openxmlformats.org/officeDocument/2006/relationships/hyperlink" Target="mailto:J.Taylor@ChurchofJesusChrist.org" TargetMode="External"/><Relationship Id="rId76" Type="http://schemas.openxmlformats.org/officeDocument/2006/relationships/hyperlink" Target="mailto:Lise.Bennett@ChurchofJesusChrist.org" TargetMode="External"/><Relationship Id="rId7" Type="http://schemas.openxmlformats.org/officeDocument/2006/relationships/hyperlink" Target="mailto:Joel.Burnham@ChurchofJesusChrist.org" TargetMode="External"/><Relationship Id="rId71" Type="http://schemas.openxmlformats.org/officeDocument/2006/relationships/hyperlink" Target="mailto:Cynthia.Norton@churchofjesuschrist.org" TargetMode="External"/><Relationship Id="rId2" Type="http://schemas.openxmlformats.org/officeDocument/2006/relationships/hyperlink" Target="mailto:ThiessenDF@ldschurch.org" TargetMode="External"/><Relationship Id="rId29" Type="http://schemas.openxmlformats.org/officeDocument/2006/relationships/hyperlink" Target="mailto:andersencn@ChurchofJesusChrist.org" TargetMode="External"/><Relationship Id="rId24" Type="http://schemas.openxmlformats.org/officeDocument/2006/relationships/hyperlink" Target="mailto:MarilynJune.Johnson@ChurchofJesusChrist.org" TargetMode="External"/><Relationship Id="rId40" Type="http://schemas.openxmlformats.org/officeDocument/2006/relationships/hyperlink" Target="mailto:CartySA@churchofjesuschrist.org" TargetMode="External"/><Relationship Id="rId45" Type="http://schemas.openxmlformats.org/officeDocument/2006/relationships/hyperlink" Target="mailto:SkidmoreDR@churchofjesuschrist.org" TargetMode="External"/><Relationship Id="rId66" Type="http://schemas.openxmlformats.org/officeDocument/2006/relationships/hyperlink" Target="mailto:stovalldav@churchofjesuschrist.org" TargetMode="External"/><Relationship Id="rId87" Type="http://schemas.openxmlformats.org/officeDocument/2006/relationships/hyperlink" Target="mailto:CookSR@churchofjesuschrist.org" TargetMode="External"/><Relationship Id="rId61" Type="http://schemas.openxmlformats.org/officeDocument/2006/relationships/hyperlink" Target="mailto:biharris@churchofjesuschrist.org" TargetMode="External"/><Relationship Id="rId82" Type="http://schemas.openxmlformats.org/officeDocument/2006/relationships/hyperlink" Target="mailto:WebbCH@churchofjesuschrist.org" TargetMode="External"/><Relationship Id="rId19" Type="http://schemas.openxmlformats.org/officeDocument/2006/relationships/hyperlink" Target="mailto:Daniel.Pino@churchofjesuschrist.org"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73CB1-B7E4-8D41-9815-72E0817767B8}">
  <sheetPr>
    <tabColor rgb="FF0AF5BE"/>
  </sheetPr>
  <dimension ref="A1:J41"/>
  <sheetViews>
    <sheetView tabSelected="1" zoomScale="170" zoomScaleNormal="170" workbookViewId="0">
      <pane xSplit="1" topLeftCell="B1" activePane="topRight" state="frozen"/>
      <selection pane="topRight" activeCell="P21" sqref="P21"/>
    </sheetView>
  </sheetViews>
  <sheetFormatPr baseColWidth="10" defaultColWidth="8.83203125" defaultRowHeight="15" x14ac:dyDescent="0.2"/>
  <cols>
    <col min="1" max="1" width="7.83203125" style="138" customWidth="1"/>
    <col min="2" max="2" width="47" style="69" customWidth="1"/>
    <col min="3" max="3" width="22.33203125" customWidth="1"/>
    <col min="4" max="4" width="14.1640625" style="75" customWidth="1"/>
    <col min="5" max="6" width="13.6640625" style="75" customWidth="1"/>
    <col min="7" max="7" width="8.1640625" style="75" customWidth="1"/>
    <col min="8" max="8" width="11.33203125" style="75" bestFit="1" customWidth="1"/>
    <col min="9" max="9" width="10.6640625" style="70" bestFit="1" customWidth="1"/>
    <col min="10" max="10" width="47.6640625" style="115" customWidth="1"/>
    <col min="11" max="11" width="6.33203125" customWidth="1"/>
  </cols>
  <sheetData>
    <row r="1" spans="1:10" s="74" customFormat="1" ht="16" x14ac:dyDescent="0.2">
      <c r="A1" s="73" t="s">
        <v>0</v>
      </c>
      <c r="B1" s="74" t="s">
        <v>1</v>
      </c>
      <c r="C1" s="74" t="s">
        <v>2</v>
      </c>
      <c r="D1" s="75" t="s">
        <v>530</v>
      </c>
      <c r="E1" s="75" t="s">
        <v>550</v>
      </c>
      <c r="F1" s="75" t="s">
        <v>551</v>
      </c>
      <c r="G1" s="75" t="s">
        <v>549</v>
      </c>
      <c r="H1" s="75" t="s">
        <v>5</v>
      </c>
      <c r="I1" s="75" t="s">
        <v>6</v>
      </c>
      <c r="J1" s="74" t="s">
        <v>10</v>
      </c>
    </row>
    <row r="2" spans="1:10" ht="16" x14ac:dyDescent="0.2">
      <c r="A2" s="139" t="s">
        <v>21</v>
      </c>
      <c r="B2" s="127" t="s">
        <v>22</v>
      </c>
      <c r="C2" s="124" t="s">
        <v>23</v>
      </c>
      <c r="D2" s="119">
        <v>1293</v>
      </c>
      <c r="E2" s="119">
        <v>770</v>
      </c>
      <c r="F2" s="119">
        <f>ROUND(Table22[[#This Row],[User Count]]/Table22[[#This Row],[Head Count]]*100,0)</f>
        <v>60</v>
      </c>
      <c r="G2" s="119">
        <v>1</v>
      </c>
      <c r="H2" s="120">
        <v>46027</v>
      </c>
      <c r="I2" s="120" t="str">
        <f>TEXT(Table22[[#This Row],[Rollout Date]],"ddd")</f>
        <v>Mon</v>
      </c>
      <c r="J2" s="121" t="s">
        <v>26</v>
      </c>
    </row>
    <row r="3" spans="1:10" ht="16" x14ac:dyDescent="0.2">
      <c r="A3" s="139" t="s">
        <v>28</v>
      </c>
      <c r="B3" s="128" t="s">
        <v>29</v>
      </c>
      <c r="C3" s="124" t="s">
        <v>30</v>
      </c>
      <c r="D3" s="119">
        <v>272</v>
      </c>
      <c r="E3" s="119"/>
      <c r="F3" s="119">
        <f>ROUND(Table22[[#This Row],[User Count]]/Table22[[#This Row],[Head Count]]*100,0)</f>
        <v>0</v>
      </c>
      <c r="G3" s="119">
        <v>1</v>
      </c>
      <c r="H3" s="120">
        <v>46045</v>
      </c>
      <c r="I3" s="120" t="str">
        <f>TEXT(Table22[[#This Row],[Rollout Date]],"ddd")</f>
        <v>Fri</v>
      </c>
      <c r="J3" s="121" t="s">
        <v>33</v>
      </c>
    </row>
    <row r="4" spans="1:10" ht="16" x14ac:dyDescent="0.2">
      <c r="A4" s="139" t="s">
        <v>34</v>
      </c>
      <c r="B4" s="128" t="s">
        <v>35</v>
      </c>
      <c r="C4" s="124" t="s">
        <v>30</v>
      </c>
      <c r="D4" s="119">
        <v>777</v>
      </c>
      <c r="E4" s="119"/>
      <c r="F4" s="119">
        <f>ROUND(Table22[[#This Row],[User Count]]/Table22[[#This Row],[Head Count]]*100,0)</f>
        <v>0</v>
      </c>
      <c r="G4" s="119">
        <v>1</v>
      </c>
      <c r="H4" s="120">
        <v>46055</v>
      </c>
      <c r="I4" s="120" t="str">
        <f>TEXT(Table22[[#This Row],[Rollout Date]],"ddd")</f>
        <v>Mon</v>
      </c>
      <c r="J4" s="121" t="s">
        <v>38</v>
      </c>
    </row>
    <row r="5" spans="1:10" ht="16" x14ac:dyDescent="0.2">
      <c r="A5" s="140" t="s">
        <v>39</v>
      </c>
      <c r="B5" s="129" t="s">
        <v>40</v>
      </c>
      <c r="C5" s="125" t="s">
        <v>41</v>
      </c>
      <c r="D5" s="102">
        <v>79</v>
      </c>
      <c r="E5" s="102"/>
      <c r="F5" s="102">
        <f>ROUND(Table22[[#This Row],[User Count]]/Table22[[#This Row],[Head Count]]*100,0)</f>
        <v>0</v>
      </c>
      <c r="G5" s="102">
        <v>2</v>
      </c>
      <c r="H5" s="103">
        <v>46113</v>
      </c>
      <c r="I5" s="103" t="str">
        <f>TEXT(Table22[[#This Row],[Rollout Date]],"ddd")</f>
        <v>Wed</v>
      </c>
      <c r="J5" s="106" t="s">
        <v>38</v>
      </c>
    </row>
    <row r="6" spans="1:10" ht="16" x14ac:dyDescent="0.2">
      <c r="A6" s="140" t="s">
        <v>45</v>
      </c>
      <c r="B6" s="129" t="s">
        <v>46</v>
      </c>
      <c r="C6" s="125" t="s">
        <v>47</v>
      </c>
      <c r="D6" s="102">
        <v>291</v>
      </c>
      <c r="E6" s="102"/>
      <c r="F6" s="102">
        <f>ROUND(Table22[[#This Row],[User Count]]/Table22[[#This Row],[Head Count]]*100,0)</f>
        <v>0</v>
      </c>
      <c r="G6" s="102">
        <v>2</v>
      </c>
      <c r="H6" s="103">
        <v>46113</v>
      </c>
      <c r="I6" s="103" t="str">
        <f>TEXT(Table22[[#This Row],[Rollout Date]],"ddd")</f>
        <v>Wed</v>
      </c>
      <c r="J6" s="106" t="s">
        <v>50</v>
      </c>
    </row>
    <row r="7" spans="1:10" ht="16" x14ac:dyDescent="0.2">
      <c r="A7" s="145" t="s">
        <v>51</v>
      </c>
      <c r="B7" s="146" t="s">
        <v>52</v>
      </c>
      <c r="C7" s="147" t="s">
        <v>53</v>
      </c>
      <c r="D7" s="148">
        <v>2076</v>
      </c>
      <c r="E7" s="148"/>
      <c r="F7" s="148">
        <f>ROUND(Table22[[#This Row],[User Count]]/Table22[[#This Row],[Head Count]]*100,0)</f>
        <v>0</v>
      </c>
      <c r="G7" s="148">
        <v>2</v>
      </c>
      <c r="H7" s="149">
        <v>46113</v>
      </c>
      <c r="I7" s="149" t="str">
        <f>TEXT(Table22[[#This Row],[Rollout Date]],"ddd")</f>
        <v>Wed</v>
      </c>
      <c r="J7" s="150" t="s">
        <v>38</v>
      </c>
    </row>
    <row r="8" spans="1:10" ht="16" x14ac:dyDescent="0.2">
      <c r="A8" s="141" t="s">
        <v>56</v>
      </c>
      <c r="B8" s="130" t="s">
        <v>57</v>
      </c>
      <c r="C8" s="114" t="s">
        <v>44</v>
      </c>
      <c r="D8" s="109">
        <v>16</v>
      </c>
      <c r="E8" s="109"/>
      <c r="F8" s="109">
        <f>ROUND(Table22[[#This Row],[User Count]]/Table22[[#This Row],[Head Count]]*100,0)</f>
        <v>0</v>
      </c>
      <c r="G8" s="109">
        <v>2</v>
      </c>
      <c r="H8" s="110">
        <v>46113</v>
      </c>
      <c r="I8" s="110" t="str">
        <f>TEXT(Table22[[#This Row],[Rollout Date]],"ddd")</f>
        <v>Wed</v>
      </c>
      <c r="J8" s="113" t="s">
        <v>27</v>
      </c>
    </row>
    <row r="9" spans="1:10" ht="16" x14ac:dyDescent="0.2">
      <c r="A9" s="141" t="s">
        <v>59</v>
      </c>
      <c r="B9" s="130" t="s">
        <v>60</v>
      </c>
      <c r="C9" s="114" t="s">
        <v>44</v>
      </c>
      <c r="D9" s="109">
        <v>43</v>
      </c>
      <c r="E9" s="109"/>
      <c r="F9" s="109">
        <f>ROUND(Table22[[#This Row],[User Count]]/Table22[[#This Row],[Head Count]]*100,0)</f>
        <v>0</v>
      </c>
      <c r="G9" s="109">
        <v>2</v>
      </c>
      <c r="H9" s="110">
        <v>46113</v>
      </c>
      <c r="I9" s="110" t="str">
        <f>TEXT(Table22[[#This Row],[Rollout Date]],"ddd")</f>
        <v>Wed</v>
      </c>
      <c r="J9" s="113" t="s">
        <v>27</v>
      </c>
    </row>
    <row r="10" spans="1:10" ht="16" x14ac:dyDescent="0.2">
      <c r="A10" s="141" t="s">
        <v>61</v>
      </c>
      <c r="B10" s="130" t="s">
        <v>62</v>
      </c>
      <c r="C10" s="114" t="s">
        <v>44</v>
      </c>
      <c r="D10" s="109">
        <v>3</v>
      </c>
      <c r="E10" s="109"/>
      <c r="F10" s="109">
        <f>ROUND(Table22[[#This Row],[User Count]]/Table22[[#This Row],[Head Count]]*100,0)</f>
        <v>0</v>
      </c>
      <c r="G10" s="109">
        <v>2</v>
      </c>
      <c r="H10" s="110">
        <v>46113</v>
      </c>
      <c r="I10" s="110" t="str">
        <f>TEXT(Table22[[#This Row],[Rollout Date]],"ddd")</f>
        <v>Wed</v>
      </c>
      <c r="J10" s="113" t="s">
        <v>27</v>
      </c>
    </row>
    <row r="11" spans="1:10" ht="16" x14ac:dyDescent="0.2">
      <c r="A11" s="145" t="s">
        <v>63</v>
      </c>
      <c r="B11" s="146" t="s">
        <v>64</v>
      </c>
      <c r="C11" s="147" t="s">
        <v>65</v>
      </c>
      <c r="D11" s="148">
        <v>20</v>
      </c>
      <c r="E11" s="148"/>
      <c r="F11" s="148">
        <f>ROUND(Table22[[#This Row],[User Count]]/Table22[[#This Row],[Head Count]]*100,0)</f>
        <v>0</v>
      </c>
      <c r="G11" s="148">
        <v>2</v>
      </c>
      <c r="H11" s="149">
        <v>46113</v>
      </c>
      <c r="I11" s="149" t="str">
        <f>TEXT(Table22[[#This Row],[Rollout Date]],"ddd")</f>
        <v>Wed</v>
      </c>
      <c r="J11" s="150" t="s">
        <v>68</v>
      </c>
    </row>
    <row r="12" spans="1:10" ht="16" x14ac:dyDescent="0.2">
      <c r="A12" s="140" t="s">
        <v>69</v>
      </c>
      <c r="B12" s="129" t="s">
        <v>70</v>
      </c>
      <c r="C12" s="125" t="s">
        <v>71</v>
      </c>
      <c r="D12" s="102">
        <v>450</v>
      </c>
      <c r="E12" s="102"/>
      <c r="F12" s="102">
        <f>ROUND(Table22[[#This Row],[User Count]]/Table22[[#This Row],[Head Count]]*100,0)</f>
        <v>0</v>
      </c>
      <c r="G12" s="102">
        <v>2</v>
      </c>
      <c r="H12" s="103">
        <v>46113</v>
      </c>
      <c r="I12" s="103" t="str">
        <f>TEXT(Table22[[#This Row],[Rollout Date]],"ddd")</f>
        <v>Wed</v>
      </c>
      <c r="J12" s="106" t="s">
        <v>38</v>
      </c>
    </row>
    <row r="13" spans="1:10" ht="16" x14ac:dyDescent="0.2">
      <c r="A13" s="138" t="s">
        <v>74</v>
      </c>
      <c r="B13" s="131" t="s">
        <v>75</v>
      </c>
      <c r="C13" s="126" t="s">
        <v>41</v>
      </c>
      <c r="D13" s="76">
        <v>24</v>
      </c>
      <c r="E13" s="76"/>
      <c r="F13" s="76">
        <f>ROUND(Table22[[#This Row],[User Count]]/Table22[[#This Row],[Head Count]]*100,0)</f>
        <v>0</v>
      </c>
      <c r="G13" s="76">
        <v>2</v>
      </c>
      <c r="H13" s="77">
        <v>46146</v>
      </c>
      <c r="I13" s="77" t="str">
        <f>TEXT(Table22[[#This Row],[Rollout Date]],"ddd")</f>
        <v>Mon</v>
      </c>
      <c r="J13" s="80" t="s">
        <v>78</v>
      </c>
    </row>
    <row r="14" spans="1:10" ht="16" x14ac:dyDescent="0.2">
      <c r="A14" s="138" t="s">
        <v>79</v>
      </c>
      <c r="B14" s="131" t="s">
        <v>80</v>
      </c>
      <c r="C14" s="126" t="s">
        <v>81</v>
      </c>
      <c r="D14" s="76">
        <v>426</v>
      </c>
      <c r="E14" s="76"/>
      <c r="F14" s="76">
        <f>ROUND(Table22[[#This Row],[User Count]]/Table22[[#This Row],[Head Count]]*100,0)</f>
        <v>0</v>
      </c>
      <c r="G14" s="76">
        <v>2</v>
      </c>
      <c r="H14" s="77">
        <v>46146</v>
      </c>
      <c r="I14" s="77" t="str">
        <f>TEXT(Table22[[#This Row],[Rollout Date]],"ddd")</f>
        <v>Mon</v>
      </c>
      <c r="J14" s="80" t="s">
        <v>26</v>
      </c>
    </row>
    <row r="15" spans="1:10" ht="16" x14ac:dyDescent="0.2">
      <c r="A15" s="142" t="s">
        <v>84</v>
      </c>
      <c r="B15" s="132" t="s">
        <v>85</v>
      </c>
      <c r="C15" s="88" t="s">
        <v>44</v>
      </c>
      <c r="D15" s="85">
        <v>10</v>
      </c>
      <c r="E15" s="85"/>
      <c r="F15" s="85">
        <f>ROUND(Table22[[#This Row],[User Count]]/Table22[[#This Row],[Head Count]]*100,0)</f>
        <v>0</v>
      </c>
      <c r="G15" s="85">
        <v>2</v>
      </c>
      <c r="H15" s="86">
        <v>46146</v>
      </c>
      <c r="I15" s="86" t="str">
        <f>TEXT(Table22[[#This Row],[Rollout Date]],"ddd")</f>
        <v>Mon</v>
      </c>
      <c r="J15" s="82" t="s">
        <v>27</v>
      </c>
    </row>
    <row r="16" spans="1:10" ht="16" x14ac:dyDescent="0.2">
      <c r="A16" s="142" t="s">
        <v>86</v>
      </c>
      <c r="B16" s="132" t="s">
        <v>87</v>
      </c>
      <c r="C16" s="88" t="s">
        <v>44</v>
      </c>
      <c r="D16" s="85">
        <v>59</v>
      </c>
      <c r="E16" s="85"/>
      <c r="F16" s="85">
        <f>ROUND(Table22[[#This Row],[User Count]]/Table22[[#This Row],[Head Count]]*100,0)</f>
        <v>0</v>
      </c>
      <c r="G16" s="85">
        <v>2</v>
      </c>
      <c r="H16" s="86">
        <v>46146</v>
      </c>
      <c r="I16" s="86" t="str">
        <f>TEXT(Table22[[#This Row],[Rollout Date]],"ddd")</f>
        <v>Mon</v>
      </c>
      <c r="J16" s="82" t="s">
        <v>27</v>
      </c>
    </row>
    <row r="17" spans="1:10" ht="16" x14ac:dyDescent="0.2">
      <c r="A17" s="142" t="s">
        <v>88</v>
      </c>
      <c r="B17" s="132" t="s">
        <v>89</v>
      </c>
      <c r="C17" s="88" t="s">
        <v>44</v>
      </c>
      <c r="D17" s="85">
        <v>29</v>
      </c>
      <c r="E17" s="85"/>
      <c r="F17" s="85">
        <f>ROUND(Table22[[#This Row],[User Count]]/Table22[[#This Row],[Head Count]]*100,0)</f>
        <v>0</v>
      </c>
      <c r="G17" s="85">
        <v>2</v>
      </c>
      <c r="H17" s="86">
        <v>46146</v>
      </c>
      <c r="I17" s="86" t="str">
        <f>TEXT(Table22[[#This Row],[Rollout Date]],"ddd")</f>
        <v>Mon</v>
      </c>
      <c r="J17" s="82" t="s">
        <v>27</v>
      </c>
    </row>
    <row r="18" spans="1:10" ht="16" x14ac:dyDescent="0.2">
      <c r="A18" s="138" t="s">
        <v>90</v>
      </c>
      <c r="B18" s="133" t="s">
        <v>91</v>
      </c>
      <c r="C18" s="126" t="s">
        <v>92</v>
      </c>
      <c r="D18" s="76">
        <v>1967</v>
      </c>
      <c r="E18" s="76"/>
      <c r="F18" s="76">
        <f>ROUND(Table22[[#This Row],[User Count]]/Table22[[#This Row],[Head Count]]*100,0)</f>
        <v>0</v>
      </c>
      <c r="G18" s="76">
        <v>2</v>
      </c>
      <c r="H18" s="77">
        <v>46146</v>
      </c>
      <c r="I18" s="77" t="str">
        <f>TEXT(Table22[[#This Row],[Rollout Date]],"ddd")</f>
        <v>Mon</v>
      </c>
      <c r="J18" s="80" t="s">
        <v>38</v>
      </c>
    </row>
    <row r="19" spans="1:10" ht="16" x14ac:dyDescent="0.2">
      <c r="A19" s="142" t="s">
        <v>95</v>
      </c>
      <c r="B19" s="134" t="s">
        <v>96</v>
      </c>
      <c r="C19" s="88" t="s">
        <v>44</v>
      </c>
      <c r="D19" s="85">
        <v>151</v>
      </c>
      <c r="E19" s="85"/>
      <c r="F19" s="85">
        <f>ROUND(Table22[[#This Row],[User Count]]/Table22[[#This Row],[Head Count]]*100,0)</f>
        <v>0</v>
      </c>
      <c r="G19" s="85">
        <v>2</v>
      </c>
      <c r="H19" s="86">
        <v>46174</v>
      </c>
      <c r="I19" s="86" t="str">
        <f>TEXT(Table22[[#This Row],[Rollout Date]],"ddd")</f>
        <v>Mon</v>
      </c>
      <c r="J19" s="82" t="s">
        <v>38</v>
      </c>
    </row>
    <row r="20" spans="1:10" ht="16" x14ac:dyDescent="0.2">
      <c r="A20" s="138" t="s">
        <v>99</v>
      </c>
      <c r="B20" s="131" t="s">
        <v>100</v>
      </c>
      <c r="C20" s="126" t="s">
        <v>100</v>
      </c>
      <c r="D20" s="76">
        <v>36</v>
      </c>
      <c r="E20" s="76"/>
      <c r="F20" s="76">
        <f>ROUND(Table22[[#This Row],[User Count]]/Table22[[#This Row],[Head Count]]*100,0)</f>
        <v>0</v>
      </c>
      <c r="G20" s="76">
        <v>2</v>
      </c>
      <c r="H20" s="77">
        <v>46174</v>
      </c>
      <c r="I20" s="77" t="str">
        <f>TEXT(Table22[[#This Row],[Rollout Date]],"ddd")</f>
        <v>Mon</v>
      </c>
      <c r="J20" s="80" t="s">
        <v>38</v>
      </c>
    </row>
    <row r="21" spans="1:10" ht="16" x14ac:dyDescent="0.2">
      <c r="A21" s="138" t="s">
        <v>103</v>
      </c>
      <c r="B21" s="131" t="s">
        <v>104</v>
      </c>
      <c r="C21" s="126" t="s">
        <v>30</v>
      </c>
      <c r="D21" s="76">
        <v>571</v>
      </c>
      <c r="E21" s="76"/>
      <c r="F21" s="76">
        <f>ROUND(Table22[[#This Row],[User Count]]/Table22[[#This Row],[Head Count]]*100,0)</f>
        <v>0</v>
      </c>
      <c r="G21" s="76">
        <v>2</v>
      </c>
      <c r="H21" s="77">
        <v>46174</v>
      </c>
      <c r="I21" s="77" t="str">
        <f>TEXT(Table22[[#This Row],[Rollout Date]],"ddd")</f>
        <v>Mon</v>
      </c>
      <c r="J21" s="80" t="s">
        <v>38</v>
      </c>
    </row>
    <row r="22" spans="1:10" ht="16" x14ac:dyDescent="0.2">
      <c r="A22" s="138" t="s">
        <v>107</v>
      </c>
      <c r="B22" s="131" t="s">
        <v>108</v>
      </c>
      <c r="C22" s="126" t="s">
        <v>109</v>
      </c>
      <c r="D22" s="76">
        <v>102</v>
      </c>
      <c r="E22" s="76"/>
      <c r="F22" s="76">
        <f>ROUND(Table22[[#This Row],[User Count]]/Table22[[#This Row],[Head Count]]*100,0)</f>
        <v>0</v>
      </c>
      <c r="G22" s="76">
        <v>3</v>
      </c>
      <c r="H22" s="77">
        <v>46204</v>
      </c>
      <c r="I22" s="77" t="str">
        <f>TEXT(Table22[[#This Row],[Rollout Date]],"ddd")</f>
        <v>Wed</v>
      </c>
      <c r="J22" s="80" t="s">
        <v>38</v>
      </c>
    </row>
    <row r="23" spans="1:10" ht="16" x14ac:dyDescent="0.2">
      <c r="A23" s="138" t="s">
        <v>112</v>
      </c>
      <c r="B23" s="133" t="s">
        <v>113</v>
      </c>
      <c r="C23" s="126" t="s">
        <v>30</v>
      </c>
      <c r="D23" s="76">
        <v>1666</v>
      </c>
      <c r="E23" s="76"/>
      <c r="F23" s="76">
        <f>ROUND(Table22[[#This Row],[User Count]]/Table22[[#This Row],[Head Count]]*100,0)</f>
        <v>0</v>
      </c>
      <c r="G23" s="76">
        <v>3</v>
      </c>
      <c r="H23" s="77">
        <v>46204</v>
      </c>
      <c r="I23" s="77" t="str">
        <f>TEXT(Table22[[#This Row],[Rollout Date]],"ddd")</f>
        <v>Wed</v>
      </c>
      <c r="J23" s="80" t="s">
        <v>38</v>
      </c>
    </row>
    <row r="24" spans="1:10" ht="16" x14ac:dyDescent="0.2">
      <c r="A24" s="138" t="s">
        <v>116</v>
      </c>
      <c r="B24" s="133" t="s">
        <v>117</v>
      </c>
      <c r="C24" s="126" t="s">
        <v>65</v>
      </c>
      <c r="D24" s="76">
        <v>847</v>
      </c>
      <c r="E24" s="76"/>
      <c r="F24" s="76">
        <f>ROUND(Table22[[#This Row],[User Count]]/Table22[[#This Row],[Head Count]]*100,0)</f>
        <v>0</v>
      </c>
      <c r="G24" s="76">
        <v>3</v>
      </c>
      <c r="H24" s="77">
        <v>46204</v>
      </c>
      <c r="I24" s="77" t="str">
        <f>TEXT(Table22[[#This Row],[Rollout Date]],"ddd")</f>
        <v>Wed</v>
      </c>
      <c r="J24" s="80" t="s">
        <v>38</v>
      </c>
    </row>
    <row r="25" spans="1:10" ht="16" x14ac:dyDescent="0.2">
      <c r="A25" s="143" t="s">
        <v>120</v>
      </c>
      <c r="B25" s="135" t="s">
        <v>121</v>
      </c>
      <c r="C25" s="93" t="s">
        <v>122</v>
      </c>
      <c r="D25" s="90">
        <v>1</v>
      </c>
      <c r="E25" s="90"/>
      <c r="F25" s="90">
        <f>ROUND(Table22[[#This Row],[User Count]]/Table22[[#This Row],[Head Count]]*100,0)</f>
        <v>0</v>
      </c>
      <c r="G25" s="90">
        <v>3</v>
      </c>
      <c r="H25" s="91">
        <v>46237</v>
      </c>
      <c r="I25" s="91" t="str">
        <f>TEXT(Table22[[#This Row],[Rollout Date]],"ddd")</f>
        <v>Mon</v>
      </c>
      <c r="J25" s="94" t="s">
        <v>27</v>
      </c>
    </row>
    <row r="26" spans="1:10" ht="16" x14ac:dyDescent="0.2">
      <c r="A26" s="138" t="s">
        <v>123</v>
      </c>
      <c r="B26" s="131" t="s">
        <v>124</v>
      </c>
      <c r="C26" s="126" t="s">
        <v>125</v>
      </c>
      <c r="D26" s="76">
        <v>943</v>
      </c>
      <c r="E26" s="76"/>
      <c r="F26" s="76">
        <f>ROUND(Table22[[#This Row],[User Count]]/Table22[[#This Row],[Head Count]]*100,0)</f>
        <v>0</v>
      </c>
      <c r="G26" s="76">
        <v>3</v>
      </c>
      <c r="H26" s="77">
        <v>46237</v>
      </c>
      <c r="I26" s="77" t="str">
        <f>TEXT(Table22[[#This Row],[Rollout Date]],"ddd")</f>
        <v>Mon</v>
      </c>
      <c r="J26" s="80" t="s">
        <v>128</v>
      </c>
    </row>
    <row r="27" spans="1:10" ht="16" x14ac:dyDescent="0.2">
      <c r="A27" s="138" t="s">
        <v>129</v>
      </c>
      <c r="B27" s="133" t="s">
        <v>130</v>
      </c>
      <c r="C27" s="126" t="s">
        <v>30</v>
      </c>
      <c r="D27" s="76">
        <v>342</v>
      </c>
      <c r="E27" s="76"/>
      <c r="F27" s="76">
        <f>ROUND(Table22[[#This Row],[User Count]]/Table22[[#This Row],[Head Count]]*100,0)</f>
        <v>0</v>
      </c>
      <c r="G27" s="76">
        <v>3</v>
      </c>
      <c r="H27" s="77">
        <v>46237</v>
      </c>
      <c r="I27" s="77" t="str">
        <f>TEXT(Table22[[#This Row],[Rollout Date]],"ddd")</f>
        <v>Mon</v>
      </c>
      <c r="J27" s="80" t="s">
        <v>38</v>
      </c>
    </row>
    <row r="28" spans="1:10" ht="16" x14ac:dyDescent="0.2">
      <c r="A28" s="138" t="s">
        <v>133</v>
      </c>
      <c r="B28" s="133" t="s">
        <v>134</v>
      </c>
      <c r="C28" s="126" t="s">
        <v>41</v>
      </c>
      <c r="D28" s="76">
        <v>332</v>
      </c>
      <c r="E28" s="76"/>
      <c r="F28" s="76">
        <f>ROUND(Table22[[#This Row],[User Count]]/Table22[[#This Row],[Head Count]]*100,0)</f>
        <v>0</v>
      </c>
      <c r="G28" s="76">
        <v>3</v>
      </c>
      <c r="H28" s="77">
        <v>46266</v>
      </c>
      <c r="I28" s="77" t="str">
        <f>TEXT(Table22[[#This Row],[Rollout Date]],"ddd")</f>
        <v>Tue</v>
      </c>
      <c r="J28" s="80" t="s">
        <v>38</v>
      </c>
    </row>
    <row r="29" spans="1:10" ht="16" x14ac:dyDescent="0.2">
      <c r="A29" s="138" t="s">
        <v>137</v>
      </c>
      <c r="B29" s="131" t="s">
        <v>138</v>
      </c>
      <c r="C29" s="126" t="s">
        <v>41</v>
      </c>
      <c r="D29" s="76">
        <v>236</v>
      </c>
      <c r="E29" s="76"/>
      <c r="F29" s="76">
        <f>ROUND(Table22[[#This Row],[User Count]]/Table22[[#This Row],[Head Count]]*100,0)</f>
        <v>0</v>
      </c>
      <c r="G29" s="76">
        <v>3</v>
      </c>
      <c r="H29" s="77">
        <v>46266</v>
      </c>
      <c r="I29" s="77" t="str">
        <f>TEXT(Table22[[#This Row],[Rollout Date]],"ddd")</f>
        <v>Tue</v>
      </c>
      <c r="J29" s="80" t="s">
        <v>38</v>
      </c>
    </row>
    <row r="30" spans="1:10" ht="16" x14ac:dyDescent="0.2">
      <c r="A30" s="138" t="s">
        <v>141</v>
      </c>
      <c r="B30" s="133" t="s">
        <v>142</v>
      </c>
      <c r="C30" s="126" t="s">
        <v>109</v>
      </c>
      <c r="D30" s="76">
        <v>208</v>
      </c>
      <c r="E30" s="76"/>
      <c r="F30" s="76">
        <f>ROUND(Table22[[#This Row],[User Count]]/Table22[[#This Row],[Head Count]]*100,0)</f>
        <v>0</v>
      </c>
      <c r="G30" s="76">
        <v>3</v>
      </c>
      <c r="H30" s="77">
        <v>46266</v>
      </c>
      <c r="I30" s="77" t="str">
        <f>TEXT(Table22[[#This Row],[Rollout Date]],"ddd")</f>
        <v>Tue</v>
      </c>
      <c r="J30" s="80" t="s">
        <v>38</v>
      </c>
    </row>
    <row r="31" spans="1:10" ht="16" x14ac:dyDescent="0.2">
      <c r="A31" s="143" t="s">
        <v>145</v>
      </c>
      <c r="B31" s="135" t="s">
        <v>146</v>
      </c>
      <c r="C31" s="93" t="s">
        <v>92</v>
      </c>
      <c r="D31" s="90">
        <v>357</v>
      </c>
      <c r="E31" s="90"/>
      <c r="F31" s="90">
        <f>ROUND(Table22[[#This Row],[User Count]]/Table22[[#This Row],[Head Count]]*100,0)</f>
        <v>0</v>
      </c>
      <c r="G31" s="90">
        <v>4</v>
      </c>
      <c r="H31" s="91">
        <v>46296</v>
      </c>
      <c r="I31" s="91" t="str">
        <f>TEXT(Table22[[#This Row],[Rollout Date]],"ddd")</f>
        <v>Thu</v>
      </c>
      <c r="J31" s="94" t="s">
        <v>27</v>
      </c>
    </row>
    <row r="32" spans="1:10" ht="16" x14ac:dyDescent="0.2">
      <c r="A32" s="138" t="s">
        <v>147</v>
      </c>
      <c r="B32" s="131" t="s">
        <v>148</v>
      </c>
      <c r="C32" s="126" t="s">
        <v>65</v>
      </c>
      <c r="D32" s="76">
        <v>108</v>
      </c>
      <c r="E32" s="76"/>
      <c r="F32" s="76">
        <f>ROUND(Table22[[#This Row],[User Count]]/Table22[[#This Row],[Head Count]]*100,0)</f>
        <v>0</v>
      </c>
      <c r="G32" s="76">
        <v>4</v>
      </c>
      <c r="H32" s="77">
        <v>46296</v>
      </c>
      <c r="I32" s="77" t="str">
        <f>TEXT(Table22[[#This Row],[Rollout Date]],"ddd")</f>
        <v>Thu</v>
      </c>
      <c r="J32" s="80" t="s">
        <v>151</v>
      </c>
    </row>
    <row r="33" spans="1:10" ht="16" x14ac:dyDescent="0.2">
      <c r="A33" s="142" t="s">
        <v>152</v>
      </c>
      <c r="B33" s="132" t="s">
        <v>153</v>
      </c>
      <c r="C33" s="88" t="s">
        <v>44</v>
      </c>
      <c r="D33" s="85">
        <v>11</v>
      </c>
      <c r="E33" s="85"/>
      <c r="F33" s="85">
        <f>ROUND(Table22[[#This Row],[User Count]]/Table22[[#This Row],[Head Count]]*100,0)</f>
        <v>0</v>
      </c>
      <c r="G33" s="85">
        <v>4</v>
      </c>
      <c r="H33" s="86">
        <v>46296</v>
      </c>
      <c r="I33" s="86" t="str">
        <f>TEXT(Table22[[#This Row],[Rollout Date]],"ddd")</f>
        <v>Thu</v>
      </c>
      <c r="J33" s="88" t="s">
        <v>27</v>
      </c>
    </row>
    <row r="34" spans="1:10" ht="16" x14ac:dyDescent="0.2">
      <c r="A34" s="144" t="s">
        <v>154</v>
      </c>
      <c r="B34" s="136" t="s">
        <v>155</v>
      </c>
      <c r="C34" s="99" t="s">
        <v>41</v>
      </c>
      <c r="D34" s="96">
        <v>2</v>
      </c>
      <c r="E34" s="96"/>
      <c r="F34" s="96">
        <f>ROUND(Table22[[#This Row],[User Count]]/Table22[[#This Row],[Head Count]]*100,0)</f>
        <v>0</v>
      </c>
      <c r="G34" s="96">
        <v>4</v>
      </c>
      <c r="H34" s="97">
        <v>46296</v>
      </c>
      <c r="I34" s="97" t="str">
        <f>TEXT(Table22[[#This Row],[Rollout Date]],"ddd")</f>
        <v>Thu</v>
      </c>
      <c r="J34" s="99" t="s">
        <v>27</v>
      </c>
    </row>
    <row r="35" spans="1:10" ht="16" x14ac:dyDescent="0.2">
      <c r="A35" s="144" t="s">
        <v>156</v>
      </c>
      <c r="B35" s="137" t="s">
        <v>157</v>
      </c>
      <c r="C35" s="99" t="s">
        <v>41</v>
      </c>
      <c r="D35" s="96">
        <v>23</v>
      </c>
      <c r="E35" s="96"/>
      <c r="F35" s="96">
        <f>ROUND(Table22[[#This Row],[User Count]]/Table22[[#This Row],[Head Count]]*100,0)</f>
        <v>0</v>
      </c>
      <c r="G35" s="96">
        <v>4</v>
      </c>
      <c r="H35" s="97">
        <v>46296</v>
      </c>
      <c r="I35" s="97" t="str">
        <f>TEXT(Table22[[#This Row],[Rollout Date]],"ddd")</f>
        <v>Thu</v>
      </c>
      <c r="J35" s="99" t="s">
        <v>27</v>
      </c>
    </row>
    <row r="36" spans="1:10" ht="16" x14ac:dyDescent="0.2">
      <c r="A36" s="138" t="s">
        <v>158</v>
      </c>
      <c r="B36" s="131" t="s">
        <v>159</v>
      </c>
      <c r="C36" s="126" t="s">
        <v>47</v>
      </c>
      <c r="D36" s="76">
        <v>3507</v>
      </c>
      <c r="E36" s="76"/>
      <c r="F36" s="76">
        <f>ROUND(Table22[[#This Row],[User Count]]/Table22[[#This Row],[Head Count]]*100,0)</f>
        <v>0</v>
      </c>
      <c r="G36" s="76">
        <v>4</v>
      </c>
      <c r="H36" s="77">
        <v>46296</v>
      </c>
      <c r="I36" s="77" t="str">
        <f>TEXT(Table22[[#This Row],[Rollout Date]],"ddd")</f>
        <v>Thu</v>
      </c>
      <c r="J36" s="80" t="s">
        <v>38</v>
      </c>
    </row>
    <row r="37" spans="1:10" ht="16" x14ac:dyDescent="0.2">
      <c r="A37" s="138" t="s">
        <v>162</v>
      </c>
      <c r="B37" s="131" t="s">
        <v>163</v>
      </c>
      <c r="C37" s="126" t="s">
        <v>163</v>
      </c>
      <c r="D37" s="76">
        <v>98</v>
      </c>
      <c r="E37" s="76"/>
      <c r="F37" s="76">
        <f>ROUND(Table22[[#This Row],[User Count]]/Table22[[#This Row],[Head Count]]*100,0)</f>
        <v>0</v>
      </c>
      <c r="G37" s="76">
        <v>4</v>
      </c>
      <c r="H37" s="77">
        <v>46328</v>
      </c>
      <c r="I37" s="77" t="str">
        <f>TEXT(Table22[[#This Row],[Rollout Date]],"ddd")</f>
        <v>Mon</v>
      </c>
      <c r="J37" s="80" t="s">
        <v>166</v>
      </c>
    </row>
    <row r="38" spans="1:10" ht="16" x14ac:dyDescent="0.2">
      <c r="A38" s="144" t="s">
        <v>167</v>
      </c>
      <c r="B38" s="136" t="s">
        <v>168</v>
      </c>
      <c r="C38" s="99" t="s">
        <v>169</v>
      </c>
      <c r="D38" s="96">
        <v>110</v>
      </c>
      <c r="E38" s="96"/>
      <c r="F38" s="96">
        <f>ROUND(Table22[[#This Row],[User Count]]/Table22[[#This Row],[Head Count]]*100,0)</f>
        <v>0</v>
      </c>
      <c r="G38" s="96">
        <v>4</v>
      </c>
      <c r="H38" s="97">
        <v>46328</v>
      </c>
      <c r="I38" s="97" t="str">
        <f>TEXT(Table22[[#This Row],[Rollout Date]],"ddd")</f>
        <v>Mon</v>
      </c>
      <c r="J38" s="99" t="s">
        <v>27</v>
      </c>
    </row>
    <row r="39" spans="1:10" ht="16" x14ac:dyDescent="0.2">
      <c r="A39" s="144" t="s">
        <v>170</v>
      </c>
      <c r="B39" s="137" t="s">
        <v>171</v>
      </c>
      <c r="C39" s="99" t="s">
        <v>163</v>
      </c>
      <c r="D39" s="96">
        <v>4</v>
      </c>
      <c r="E39" s="96"/>
      <c r="F39" s="96">
        <f>ROUND(Table22[[#This Row],[User Count]]/Table22[[#This Row],[Head Count]]*100,0)</f>
        <v>0</v>
      </c>
      <c r="G39" s="96">
        <v>4</v>
      </c>
      <c r="H39" s="97">
        <v>46328</v>
      </c>
      <c r="I39" s="97" t="str">
        <f>TEXT(Table22[[#This Row],[Rollout Date]],"ddd")</f>
        <v>Mon</v>
      </c>
      <c r="J39" s="99" t="s">
        <v>27</v>
      </c>
    </row>
    <row r="40" spans="1:10" ht="16" x14ac:dyDescent="0.2">
      <c r="A40" s="138" t="s">
        <v>172</v>
      </c>
      <c r="B40" s="133" t="s">
        <v>173</v>
      </c>
      <c r="C40" s="126" t="s">
        <v>174</v>
      </c>
      <c r="D40" s="76">
        <v>85</v>
      </c>
      <c r="E40" s="76"/>
      <c r="F40" s="76">
        <f>ROUND(Table22[[#This Row],[User Count]]/Table22[[#This Row],[Head Count]]*100,0)</f>
        <v>0</v>
      </c>
      <c r="G40" s="76">
        <v>4</v>
      </c>
      <c r="H40" s="77">
        <v>46357</v>
      </c>
      <c r="I40" s="77" t="str">
        <f>TEXT(Table22[[#This Row],[Rollout Date]],"ddd")</f>
        <v>Tue</v>
      </c>
      <c r="J40" s="80" t="s">
        <v>177</v>
      </c>
    </row>
    <row r="41" spans="1:10" ht="16" x14ac:dyDescent="0.2">
      <c r="A41" s="142" t="s">
        <v>178</v>
      </c>
      <c r="B41" s="134" t="s">
        <v>179</v>
      </c>
      <c r="C41" s="88" t="s">
        <v>44</v>
      </c>
      <c r="D41" s="85">
        <v>1</v>
      </c>
      <c r="E41" s="85"/>
      <c r="F41" s="85">
        <f>ROUND(Table22[[#This Row],[User Count]]/Table22[[#This Row],[Head Count]]*100,0)</f>
        <v>0</v>
      </c>
      <c r="G41" s="85">
        <v>1</v>
      </c>
      <c r="H41" s="86">
        <v>46174</v>
      </c>
      <c r="I41" s="86" t="str">
        <f>TEXT(Table22[[#This Row],[Rollout Date]],"ddd")</f>
        <v>Mon</v>
      </c>
      <c r="J41" s="88"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F999A-B7B7-9042-ACE4-034C853309B2}">
  <sheetPr>
    <tabColor rgb="FF00B0F0"/>
  </sheetPr>
  <dimension ref="A1:D15"/>
  <sheetViews>
    <sheetView zoomScale="180" zoomScaleNormal="180" workbookViewId="0">
      <selection activeCell="D23" sqref="D23"/>
    </sheetView>
  </sheetViews>
  <sheetFormatPr baseColWidth="10" defaultColWidth="11.5" defaultRowHeight="15" x14ac:dyDescent="0.2"/>
  <cols>
    <col min="1" max="1" width="22.33203125" customWidth="1"/>
    <col min="2" max="2" width="19.83203125" customWidth="1"/>
    <col min="3" max="3" width="24" customWidth="1"/>
    <col min="4" max="4" width="47.5" customWidth="1"/>
  </cols>
  <sheetData>
    <row r="1" spans="1:4" ht="16" x14ac:dyDescent="0.2">
      <c r="A1" s="122" t="s">
        <v>2</v>
      </c>
      <c r="B1" s="122" t="s">
        <v>180</v>
      </c>
      <c r="C1" s="122" t="s">
        <v>181</v>
      </c>
      <c r="D1" s="122" t="s">
        <v>182</v>
      </c>
    </row>
    <row r="2" spans="1:4" ht="32" x14ac:dyDescent="0.2">
      <c r="A2" s="122" t="s">
        <v>47</v>
      </c>
      <c r="B2" s="71" t="s">
        <v>183</v>
      </c>
      <c r="C2" s="71" t="s">
        <v>184</v>
      </c>
      <c r="D2" s="71" t="s">
        <v>185</v>
      </c>
    </row>
    <row r="3" spans="1:4" ht="32" x14ac:dyDescent="0.2">
      <c r="A3" s="122" t="s">
        <v>65</v>
      </c>
      <c r="B3" s="71" t="s">
        <v>183</v>
      </c>
      <c r="C3" s="71" t="s">
        <v>186</v>
      </c>
      <c r="D3" s="71" t="s">
        <v>187</v>
      </c>
    </row>
    <row r="4" spans="1:4" ht="16" x14ac:dyDescent="0.2">
      <c r="A4" s="122" t="s">
        <v>109</v>
      </c>
      <c r="B4" s="71" t="s">
        <v>183</v>
      </c>
      <c r="C4" s="71" t="s">
        <v>188</v>
      </c>
      <c r="D4" s="71" t="s">
        <v>189</v>
      </c>
    </row>
    <row r="5" spans="1:4" ht="96" x14ac:dyDescent="0.2">
      <c r="A5" s="122" t="s">
        <v>190</v>
      </c>
      <c r="B5" s="71" t="s">
        <v>191</v>
      </c>
      <c r="C5" s="71" t="s">
        <v>192</v>
      </c>
      <c r="D5" s="71" t="s">
        <v>193</v>
      </c>
    </row>
    <row r="6" spans="1:4" ht="16" x14ac:dyDescent="0.2">
      <c r="A6" s="122" t="s">
        <v>194</v>
      </c>
      <c r="B6" s="71" t="s">
        <v>183</v>
      </c>
      <c r="C6" s="71" t="s">
        <v>195</v>
      </c>
      <c r="D6" s="71" t="s">
        <v>196</v>
      </c>
    </row>
    <row r="7" spans="1:4" ht="32" x14ac:dyDescent="0.2">
      <c r="A7" s="122" t="s">
        <v>41</v>
      </c>
      <c r="B7" s="71" t="s">
        <v>183</v>
      </c>
      <c r="C7" s="71" t="s">
        <v>197</v>
      </c>
      <c r="D7" s="71" t="s">
        <v>198</v>
      </c>
    </row>
    <row r="8" spans="1:4" ht="16" x14ac:dyDescent="0.2">
      <c r="A8" s="122" t="s">
        <v>92</v>
      </c>
      <c r="B8" s="71" t="s">
        <v>183</v>
      </c>
      <c r="C8" s="71" t="s">
        <v>199</v>
      </c>
      <c r="D8" s="71" t="s">
        <v>200</v>
      </c>
    </row>
    <row r="9" spans="1:4" ht="32" x14ac:dyDescent="0.2">
      <c r="A9" s="122" t="s">
        <v>81</v>
      </c>
      <c r="B9" s="71" t="s">
        <v>183</v>
      </c>
      <c r="C9" s="71" t="s">
        <v>201</v>
      </c>
      <c r="D9" s="71" t="s">
        <v>202</v>
      </c>
    </row>
    <row r="10" spans="1:4" ht="32" x14ac:dyDescent="0.2">
      <c r="A10" s="123" t="s">
        <v>203</v>
      </c>
      <c r="B10" s="71" t="s">
        <v>183</v>
      </c>
      <c r="C10" s="71" t="s">
        <v>204</v>
      </c>
      <c r="D10" s="71" t="s">
        <v>205</v>
      </c>
    </row>
    <row r="11" spans="1:4" ht="16" x14ac:dyDescent="0.2">
      <c r="A11" s="122" t="s">
        <v>53</v>
      </c>
      <c r="B11" s="71" t="s">
        <v>183</v>
      </c>
      <c r="C11" s="71" t="s">
        <v>206</v>
      </c>
      <c r="D11" s="71" t="s">
        <v>207</v>
      </c>
    </row>
    <row r="12" spans="1:4" ht="16" x14ac:dyDescent="0.2">
      <c r="A12" s="122" t="s">
        <v>44</v>
      </c>
      <c r="B12" s="71" t="s">
        <v>183</v>
      </c>
      <c r="C12" s="71" t="s">
        <v>204</v>
      </c>
      <c r="D12" s="71" t="s">
        <v>208</v>
      </c>
    </row>
    <row r="13" spans="1:4" ht="16" x14ac:dyDescent="0.2">
      <c r="A13" s="122" t="s">
        <v>209</v>
      </c>
      <c r="B13" s="71" t="s">
        <v>183</v>
      </c>
      <c r="C13" s="71" t="s">
        <v>199</v>
      </c>
      <c r="D13" s="71" t="s">
        <v>210</v>
      </c>
    </row>
    <row r="14" spans="1:4" ht="16" x14ac:dyDescent="0.2">
      <c r="A14" s="122" t="s">
        <v>211</v>
      </c>
      <c r="B14" s="71" t="s">
        <v>183</v>
      </c>
      <c r="C14" s="71" t="s">
        <v>212</v>
      </c>
      <c r="D14" s="71" t="s">
        <v>112</v>
      </c>
    </row>
    <row r="15" spans="1:4" ht="16" x14ac:dyDescent="0.2">
      <c r="A15" s="122" t="s">
        <v>71</v>
      </c>
      <c r="B15" s="71" t="s">
        <v>183</v>
      </c>
      <c r="C15" s="71" t="s">
        <v>213</v>
      </c>
      <c r="D15" s="71" t="s">
        <v>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DCB3-7797-4A89-A7F5-53781E7E1417}">
  <sheetPr>
    <tabColor theme="2" tint="-0.499984740745262"/>
  </sheetPr>
  <dimension ref="A1:T41"/>
  <sheetViews>
    <sheetView zoomScale="180" zoomScaleNormal="180" workbookViewId="0">
      <pane xSplit="1" topLeftCell="B1" activePane="topRight" state="frozen"/>
      <selection pane="topRight" activeCell="M28" sqref="M28"/>
    </sheetView>
  </sheetViews>
  <sheetFormatPr baseColWidth="10" defaultColWidth="8.83203125" defaultRowHeight="15" x14ac:dyDescent="0.2"/>
  <cols>
    <col min="1" max="1" width="9.33203125" style="71" customWidth="1"/>
    <col min="2" max="2" width="36.1640625" style="71" customWidth="1"/>
    <col min="3" max="3" width="8.83203125" style="75" bestFit="1" customWidth="1"/>
    <col min="4" max="4" width="6" style="75" bestFit="1" customWidth="1"/>
    <col min="5" max="5" width="11.83203125" style="75" customWidth="1"/>
    <col min="6" max="6" width="12.1640625" style="75" bestFit="1" customWidth="1"/>
    <col min="7" max="7" width="12.83203125" style="70" customWidth="1"/>
    <col min="8" max="8" width="22.1640625" style="70" customWidth="1"/>
    <col min="9" max="9" width="10.83203125" style="5" customWidth="1"/>
    <col min="10" max="10" width="10.5" customWidth="1"/>
    <col min="11" max="11" width="16.33203125" style="115" customWidth="1"/>
    <col min="12" max="12" width="17" style="71" bestFit="1" customWidth="1"/>
    <col min="13" max="13" width="22.5" style="71" customWidth="1"/>
    <col min="14" max="14" width="18.5" style="71" customWidth="1"/>
    <col min="15" max="15" width="27.33203125" style="71" bestFit="1" customWidth="1"/>
    <col min="16" max="16" width="24.33203125" style="71" bestFit="1" customWidth="1"/>
    <col min="17" max="19" width="27.33203125" style="71" customWidth="1"/>
    <col min="20" max="20" width="60.5" style="71" customWidth="1"/>
    <col min="21" max="21" width="44.33203125" customWidth="1"/>
  </cols>
  <sheetData>
    <row r="1" spans="1:20" s="74" customFormat="1" ht="32" x14ac:dyDescent="0.2">
      <c r="A1" s="73" t="s">
        <v>0</v>
      </c>
      <c r="B1" s="73" t="s">
        <v>1</v>
      </c>
      <c r="C1" s="75" t="s">
        <v>3</v>
      </c>
      <c r="D1" s="75" t="s">
        <v>4</v>
      </c>
      <c r="E1" s="75" t="s">
        <v>5</v>
      </c>
      <c r="F1" s="75" t="s">
        <v>6</v>
      </c>
      <c r="G1" s="70" t="s">
        <v>7</v>
      </c>
      <c r="H1" s="70" t="s">
        <v>8</v>
      </c>
      <c r="I1" s="5" t="s">
        <v>9</v>
      </c>
      <c r="J1" s="74" t="s">
        <v>10</v>
      </c>
      <c r="K1" s="115" t="s">
        <v>11</v>
      </c>
      <c r="L1" s="73" t="s">
        <v>12</v>
      </c>
      <c r="M1" s="73" t="s">
        <v>13</v>
      </c>
      <c r="N1" s="73" t="s">
        <v>14</v>
      </c>
      <c r="O1" s="73" t="s">
        <v>15</v>
      </c>
      <c r="P1" s="73" t="s">
        <v>16</v>
      </c>
      <c r="Q1" s="73" t="s">
        <v>17</v>
      </c>
      <c r="R1" s="73" t="s">
        <v>18</v>
      </c>
      <c r="S1" s="73" t="s">
        <v>19</v>
      </c>
      <c r="T1" s="73" t="s">
        <v>20</v>
      </c>
    </row>
    <row r="2" spans="1:20" ht="16" x14ac:dyDescent="0.2">
      <c r="A2" s="70" t="s">
        <v>21</v>
      </c>
      <c r="B2" s="70" t="s">
        <v>22</v>
      </c>
      <c r="C2" s="76">
        <v>1293</v>
      </c>
      <c r="D2" s="76">
        <v>1</v>
      </c>
      <c r="E2" s="77">
        <v>46027</v>
      </c>
      <c r="F2" s="77" t="str">
        <f>TEXT(Table2[[#This Row],[Rollout Date]],"ddd")</f>
        <v>Mon</v>
      </c>
      <c r="G2" s="78"/>
      <c r="H2" s="72" t="s">
        <v>24</v>
      </c>
      <c r="I2" s="79" t="s">
        <v>25</v>
      </c>
      <c r="J2" s="80" t="s">
        <v>26</v>
      </c>
      <c r="K2" s="117" t="s">
        <v>27</v>
      </c>
      <c r="L2" s="72"/>
      <c r="M2" s="72"/>
      <c r="N2" s="72"/>
      <c r="O2" s="72"/>
      <c r="P2" s="72"/>
      <c r="Q2" s="72"/>
      <c r="R2" s="72"/>
      <c r="S2" s="72"/>
    </row>
    <row r="3" spans="1:20" ht="16" x14ac:dyDescent="0.2">
      <c r="A3" s="70" t="s">
        <v>28</v>
      </c>
      <c r="B3" s="71" t="s">
        <v>29</v>
      </c>
      <c r="C3" s="76">
        <v>272</v>
      </c>
      <c r="D3" s="76">
        <v>1</v>
      </c>
      <c r="E3" s="77">
        <v>46045</v>
      </c>
      <c r="F3" s="77" t="str">
        <f>TEXT(Table2[[#This Row],[Rollout Date]],"ddd")</f>
        <v>Fri</v>
      </c>
      <c r="G3" s="81"/>
      <c r="H3" s="81" t="s">
        <v>31</v>
      </c>
      <c r="I3" s="79" t="s">
        <v>32</v>
      </c>
      <c r="J3" s="80" t="s">
        <v>33</v>
      </c>
      <c r="K3" s="117" t="s">
        <v>27</v>
      </c>
      <c r="L3" s="72"/>
      <c r="M3" s="72"/>
      <c r="N3" s="72"/>
      <c r="O3" s="72"/>
      <c r="P3" s="72"/>
      <c r="Q3" s="72"/>
      <c r="R3" s="72"/>
      <c r="S3" s="72"/>
    </row>
    <row r="4" spans="1:20" ht="16" x14ac:dyDescent="0.2">
      <c r="A4" s="70" t="s">
        <v>34</v>
      </c>
      <c r="B4" s="71" t="s">
        <v>35</v>
      </c>
      <c r="C4" s="76">
        <v>777</v>
      </c>
      <c r="D4" s="76">
        <v>1</v>
      </c>
      <c r="E4" s="77">
        <v>46055</v>
      </c>
      <c r="F4" s="77" t="str">
        <f>TEXT(Table2[[#This Row],[Rollout Date]],"ddd")</f>
        <v>Mon</v>
      </c>
      <c r="G4" s="72"/>
      <c r="H4" s="72" t="s">
        <v>36</v>
      </c>
      <c r="I4" s="79" t="s">
        <v>37</v>
      </c>
      <c r="J4" s="80" t="s">
        <v>38</v>
      </c>
      <c r="K4" s="117" t="s">
        <v>27</v>
      </c>
      <c r="L4" s="72"/>
      <c r="M4" s="72"/>
      <c r="N4" s="72"/>
      <c r="O4" s="72"/>
      <c r="P4" s="72"/>
      <c r="Q4" s="72"/>
      <c r="R4" s="72"/>
      <c r="S4" s="72"/>
    </row>
    <row r="5" spans="1:20" ht="16" x14ac:dyDescent="0.2">
      <c r="A5" s="101" t="s">
        <v>39</v>
      </c>
      <c r="B5" s="101" t="s">
        <v>40</v>
      </c>
      <c r="C5" s="102">
        <v>79</v>
      </c>
      <c r="D5" s="102">
        <v>2</v>
      </c>
      <c r="E5" s="103">
        <v>46113</v>
      </c>
      <c r="F5" s="103" t="str">
        <f>TEXT(Table2[[#This Row],[Rollout Date]],"ddd")</f>
        <v>Wed</v>
      </c>
      <c r="G5" s="104"/>
      <c r="H5" s="104" t="s">
        <v>42</v>
      </c>
      <c r="I5" s="105" t="s">
        <v>43</v>
      </c>
      <c r="J5" s="106" t="s">
        <v>38</v>
      </c>
      <c r="K5" s="118" t="s">
        <v>27</v>
      </c>
      <c r="L5" s="104"/>
      <c r="M5" s="104"/>
      <c r="N5" s="104"/>
      <c r="O5" s="104"/>
      <c r="P5" s="104"/>
      <c r="Q5" s="104"/>
      <c r="R5" s="104"/>
      <c r="S5" s="104"/>
      <c r="T5" s="116"/>
    </row>
    <row r="6" spans="1:20" ht="16" x14ac:dyDescent="0.2">
      <c r="A6" s="101" t="s">
        <v>45</v>
      </c>
      <c r="B6" s="101" t="s">
        <v>46</v>
      </c>
      <c r="C6" s="102">
        <v>291</v>
      </c>
      <c r="D6" s="102">
        <v>2</v>
      </c>
      <c r="E6" s="103">
        <v>46113</v>
      </c>
      <c r="F6" s="103" t="str">
        <f>TEXT(Table2[[#This Row],[Rollout Date]],"ddd")</f>
        <v>Wed</v>
      </c>
      <c r="G6" s="104"/>
      <c r="H6" s="104" t="s">
        <v>48</v>
      </c>
      <c r="I6" s="105" t="s">
        <v>49</v>
      </c>
      <c r="J6" s="106" t="s">
        <v>50</v>
      </c>
      <c r="K6" s="118" t="s">
        <v>27</v>
      </c>
      <c r="L6" s="104"/>
      <c r="M6" s="104"/>
      <c r="N6" s="104"/>
      <c r="O6" s="104"/>
      <c r="P6" s="104"/>
      <c r="Q6" s="104"/>
      <c r="R6" s="104"/>
      <c r="S6" s="104"/>
      <c r="T6" s="116"/>
    </row>
    <row r="7" spans="1:20" ht="16" x14ac:dyDescent="0.2">
      <c r="A7" s="101" t="s">
        <v>51</v>
      </c>
      <c r="B7" s="101" t="s">
        <v>52</v>
      </c>
      <c r="C7" s="102">
        <v>2076</v>
      </c>
      <c r="D7" s="102">
        <v>2</v>
      </c>
      <c r="E7" s="103">
        <v>46113</v>
      </c>
      <c r="F7" s="103" t="str">
        <f>TEXT(Table2[[#This Row],[Rollout Date]],"ddd")</f>
        <v>Wed</v>
      </c>
      <c r="G7" s="104"/>
      <c r="H7" s="104" t="s">
        <v>54</v>
      </c>
      <c r="I7" s="105" t="s">
        <v>55</v>
      </c>
      <c r="J7" s="106" t="s">
        <v>38</v>
      </c>
      <c r="K7" s="118"/>
      <c r="L7" s="104"/>
      <c r="M7" s="104"/>
      <c r="N7" s="104"/>
      <c r="O7" s="104"/>
      <c r="P7" s="104"/>
      <c r="Q7" s="104"/>
      <c r="R7" s="104"/>
      <c r="S7" s="104"/>
      <c r="T7" s="116"/>
    </row>
    <row r="8" spans="1:20" ht="16" x14ac:dyDescent="0.2">
      <c r="A8" s="107" t="s">
        <v>56</v>
      </c>
      <c r="B8" s="108" t="s">
        <v>57</v>
      </c>
      <c r="C8" s="109">
        <v>16</v>
      </c>
      <c r="D8" s="109">
        <v>2</v>
      </c>
      <c r="E8" s="110">
        <v>46113</v>
      </c>
      <c r="F8" s="110" t="str">
        <f>TEXT(Table2[[#This Row],[Rollout Date]],"ddd")</f>
        <v>Wed</v>
      </c>
      <c r="G8" s="111"/>
      <c r="H8" s="111"/>
      <c r="I8" s="112" t="s">
        <v>58</v>
      </c>
      <c r="J8" s="113" t="s">
        <v>27</v>
      </c>
      <c r="K8" s="118" t="s">
        <v>27</v>
      </c>
      <c r="L8" s="104"/>
      <c r="M8" s="104"/>
      <c r="N8" s="104"/>
      <c r="O8" s="104"/>
      <c r="P8" s="104"/>
      <c r="Q8" s="104"/>
      <c r="R8" s="104"/>
      <c r="S8" s="104"/>
      <c r="T8" s="116"/>
    </row>
    <row r="9" spans="1:20" ht="32" x14ac:dyDescent="0.2">
      <c r="A9" s="107" t="s">
        <v>59</v>
      </c>
      <c r="B9" s="108" t="s">
        <v>60</v>
      </c>
      <c r="C9" s="109">
        <v>43</v>
      </c>
      <c r="D9" s="109">
        <v>2</v>
      </c>
      <c r="E9" s="110">
        <v>46113</v>
      </c>
      <c r="F9" s="110" t="str">
        <f>TEXT(Table2[[#This Row],[Rollout Date]],"ddd")</f>
        <v>Wed</v>
      </c>
      <c r="G9" s="111"/>
      <c r="H9" s="111"/>
      <c r="I9" s="114"/>
      <c r="J9" s="113" t="s">
        <v>27</v>
      </c>
      <c r="K9" s="118" t="s">
        <v>27</v>
      </c>
      <c r="L9" s="104"/>
      <c r="M9" s="104"/>
      <c r="N9" s="104"/>
      <c r="O9" s="104"/>
      <c r="P9" s="104"/>
      <c r="Q9" s="104"/>
      <c r="R9" s="104"/>
      <c r="S9" s="104"/>
      <c r="T9" s="116"/>
    </row>
    <row r="10" spans="1:20" ht="16" x14ac:dyDescent="0.2">
      <c r="A10" s="107" t="s">
        <v>61</v>
      </c>
      <c r="B10" s="108" t="s">
        <v>62</v>
      </c>
      <c r="C10" s="109"/>
      <c r="D10" s="109">
        <v>2</v>
      </c>
      <c r="E10" s="110">
        <v>46113</v>
      </c>
      <c r="F10" s="110" t="str">
        <f>TEXT(Table2[[#This Row],[Rollout Date]],"ddd")</f>
        <v>Wed</v>
      </c>
      <c r="G10" s="111"/>
      <c r="H10" s="111"/>
      <c r="I10" s="114"/>
      <c r="J10" s="113" t="s">
        <v>27</v>
      </c>
      <c r="K10" s="118" t="s">
        <v>27</v>
      </c>
      <c r="L10" s="104"/>
      <c r="M10" s="104"/>
      <c r="N10" s="104"/>
      <c r="O10" s="104"/>
      <c r="P10" s="104"/>
      <c r="Q10" s="104"/>
      <c r="R10" s="104"/>
      <c r="S10" s="104"/>
      <c r="T10" s="116"/>
    </row>
    <row r="11" spans="1:20" ht="16" x14ac:dyDescent="0.2">
      <c r="A11" s="101" t="s">
        <v>63</v>
      </c>
      <c r="B11" s="101" t="s">
        <v>64</v>
      </c>
      <c r="C11" s="102">
        <v>20</v>
      </c>
      <c r="D11" s="102">
        <v>2</v>
      </c>
      <c r="E11" s="103">
        <v>46113</v>
      </c>
      <c r="F11" s="103" t="str">
        <f>TEXT(Table2[[#This Row],[Rollout Date]],"ddd")</f>
        <v>Wed</v>
      </c>
      <c r="G11" s="104"/>
      <c r="H11" s="104" t="s">
        <v>66</v>
      </c>
      <c r="I11" s="105" t="s">
        <v>67</v>
      </c>
      <c r="J11" s="106" t="s">
        <v>68</v>
      </c>
      <c r="K11" s="118" t="s">
        <v>27</v>
      </c>
      <c r="L11" s="104"/>
      <c r="M11" s="104"/>
      <c r="N11" s="104"/>
      <c r="O11" s="104"/>
      <c r="P11" s="104"/>
      <c r="Q11" s="104"/>
      <c r="R11" s="104"/>
      <c r="S11" s="104"/>
      <c r="T11" s="116"/>
    </row>
    <row r="12" spans="1:20" ht="16" x14ac:dyDescent="0.2">
      <c r="A12" s="101" t="s">
        <v>69</v>
      </c>
      <c r="B12" s="101" t="s">
        <v>70</v>
      </c>
      <c r="C12" s="102">
        <v>450</v>
      </c>
      <c r="D12" s="102">
        <v>2</v>
      </c>
      <c r="E12" s="103">
        <v>46113</v>
      </c>
      <c r="F12" s="103" t="str">
        <f>TEXT(Table2[[#This Row],[Rollout Date]],"ddd")</f>
        <v>Wed</v>
      </c>
      <c r="G12" s="104"/>
      <c r="H12" s="104" t="s">
        <v>72</v>
      </c>
      <c r="I12" s="105" t="s">
        <v>73</v>
      </c>
      <c r="J12" s="106" t="s">
        <v>38</v>
      </c>
      <c r="K12" s="118" t="s">
        <v>27</v>
      </c>
      <c r="L12" s="104"/>
      <c r="M12" s="104"/>
      <c r="N12" s="104"/>
      <c r="O12" s="104"/>
      <c r="P12" s="104"/>
      <c r="Q12" s="104"/>
      <c r="R12" s="104"/>
      <c r="S12" s="104"/>
      <c r="T12" s="116"/>
    </row>
    <row r="13" spans="1:20" ht="16" x14ac:dyDescent="0.2">
      <c r="A13" s="70" t="s">
        <v>74</v>
      </c>
      <c r="B13" s="70" t="s">
        <v>75</v>
      </c>
      <c r="C13" s="76">
        <v>24</v>
      </c>
      <c r="D13" s="76">
        <v>2</v>
      </c>
      <c r="E13" s="77">
        <v>46146</v>
      </c>
      <c r="F13" s="77" t="str">
        <f>TEXT(Table2[[#This Row],[Rollout Date]],"ddd")</f>
        <v>Mon</v>
      </c>
      <c r="G13" s="72"/>
      <c r="H13" s="72" t="s">
        <v>76</v>
      </c>
      <c r="I13" s="79" t="s">
        <v>77</v>
      </c>
      <c r="J13" s="80" t="s">
        <v>78</v>
      </c>
      <c r="K13" s="117" t="s">
        <v>27</v>
      </c>
      <c r="L13" s="72"/>
      <c r="M13" s="72"/>
      <c r="N13" s="72"/>
      <c r="O13" s="72"/>
      <c r="P13" s="72"/>
      <c r="Q13" s="72"/>
      <c r="R13" s="72"/>
      <c r="S13" s="72"/>
    </row>
    <row r="14" spans="1:20" ht="16" x14ac:dyDescent="0.2">
      <c r="A14" s="70" t="s">
        <v>79</v>
      </c>
      <c r="B14" s="70" t="s">
        <v>80</v>
      </c>
      <c r="C14" s="76">
        <v>426</v>
      </c>
      <c r="D14" s="76">
        <v>2</v>
      </c>
      <c r="E14" s="77">
        <v>46146</v>
      </c>
      <c r="F14" s="77" t="str">
        <f>TEXT(Table2[[#This Row],[Rollout Date]],"ddd")</f>
        <v>Mon</v>
      </c>
      <c r="G14" s="72"/>
      <c r="H14" s="72" t="s">
        <v>82</v>
      </c>
      <c r="I14" s="79" t="s">
        <v>83</v>
      </c>
      <c r="J14" s="80" t="s">
        <v>26</v>
      </c>
      <c r="K14" s="117" t="s">
        <v>27</v>
      </c>
      <c r="L14" s="72"/>
      <c r="M14" s="72"/>
      <c r="N14" s="72"/>
      <c r="O14" s="72"/>
      <c r="P14" s="72"/>
      <c r="Q14" s="72"/>
      <c r="R14" s="72"/>
      <c r="S14" s="72"/>
    </row>
    <row r="15" spans="1:20" ht="16" x14ac:dyDescent="0.2">
      <c r="A15" s="83" t="s">
        <v>84</v>
      </c>
      <c r="B15" s="84" t="s">
        <v>85</v>
      </c>
      <c r="C15" s="85">
        <v>10</v>
      </c>
      <c r="D15" s="85">
        <v>2</v>
      </c>
      <c r="E15" s="86">
        <v>46146</v>
      </c>
      <c r="F15" s="86" t="str">
        <f>TEXT(Table2[[#This Row],[Rollout Date]],"ddd")</f>
        <v>Mon</v>
      </c>
      <c r="G15" s="87"/>
      <c r="H15" s="87"/>
      <c r="I15" s="88"/>
      <c r="J15" s="82" t="s">
        <v>27</v>
      </c>
      <c r="K15" s="117" t="s">
        <v>27</v>
      </c>
      <c r="L15" s="72"/>
      <c r="M15" s="72"/>
      <c r="N15" s="72"/>
      <c r="O15" s="72"/>
      <c r="P15" s="72"/>
      <c r="Q15" s="72"/>
      <c r="R15" s="72"/>
      <c r="S15" s="72"/>
    </row>
    <row r="16" spans="1:20" ht="16" x14ac:dyDescent="0.2">
      <c r="A16" s="83" t="s">
        <v>86</v>
      </c>
      <c r="B16" s="84" t="s">
        <v>87</v>
      </c>
      <c r="C16" s="85">
        <v>59</v>
      </c>
      <c r="D16" s="85">
        <v>2</v>
      </c>
      <c r="E16" s="86">
        <v>46146</v>
      </c>
      <c r="F16" s="86" t="str">
        <f>TEXT(Table2[[#This Row],[Rollout Date]],"ddd")</f>
        <v>Mon</v>
      </c>
      <c r="G16" s="87"/>
      <c r="H16" s="87"/>
      <c r="I16" s="88"/>
      <c r="J16" s="82" t="s">
        <v>27</v>
      </c>
      <c r="K16" s="117" t="s">
        <v>27</v>
      </c>
      <c r="L16" s="72"/>
      <c r="M16" s="72"/>
      <c r="N16" s="72"/>
      <c r="O16" s="72"/>
      <c r="P16" s="72"/>
      <c r="Q16" s="72"/>
      <c r="R16" s="72"/>
      <c r="S16" s="72"/>
    </row>
    <row r="17" spans="1:19" ht="16" x14ac:dyDescent="0.2">
      <c r="A17" s="83" t="s">
        <v>88</v>
      </c>
      <c r="B17" s="84" t="s">
        <v>89</v>
      </c>
      <c r="C17" s="85">
        <v>29</v>
      </c>
      <c r="D17" s="85">
        <v>2</v>
      </c>
      <c r="E17" s="86">
        <v>46146</v>
      </c>
      <c r="F17" s="86" t="str">
        <f>TEXT(Table2[[#This Row],[Rollout Date]],"ddd")</f>
        <v>Mon</v>
      </c>
      <c r="G17" s="87"/>
      <c r="H17" s="87"/>
      <c r="I17" s="88"/>
      <c r="J17" s="82" t="s">
        <v>27</v>
      </c>
      <c r="K17" s="117" t="s">
        <v>27</v>
      </c>
      <c r="L17" s="72"/>
      <c r="M17" s="72"/>
      <c r="N17" s="72"/>
      <c r="O17" s="72"/>
      <c r="P17" s="72"/>
      <c r="Q17" s="72"/>
      <c r="R17" s="72"/>
      <c r="S17" s="72"/>
    </row>
    <row r="18" spans="1:19" ht="16" x14ac:dyDescent="0.2">
      <c r="A18" s="70" t="s">
        <v>90</v>
      </c>
      <c r="B18" s="71" t="s">
        <v>91</v>
      </c>
      <c r="C18" s="76">
        <v>1967</v>
      </c>
      <c r="D18" s="76">
        <v>2</v>
      </c>
      <c r="E18" s="77">
        <v>46146</v>
      </c>
      <c r="F18" s="77" t="str">
        <f>TEXT(Table2[[#This Row],[Rollout Date]],"ddd")</f>
        <v>Mon</v>
      </c>
      <c r="G18" s="72"/>
      <c r="H18" s="72" t="s">
        <v>93</v>
      </c>
      <c r="I18" s="79" t="s">
        <v>94</v>
      </c>
      <c r="J18" s="80" t="s">
        <v>38</v>
      </c>
      <c r="K18" s="117" t="s">
        <v>27</v>
      </c>
      <c r="L18" s="72"/>
      <c r="M18" s="72"/>
      <c r="N18" s="72"/>
      <c r="O18" s="72"/>
      <c r="P18" s="72"/>
      <c r="Q18" s="72"/>
      <c r="R18" s="72"/>
      <c r="S18" s="72"/>
    </row>
    <row r="19" spans="1:19" ht="16" x14ac:dyDescent="0.2">
      <c r="A19" s="70" t="s">
        <v>95</v>
      </c>
      <c r="B19" s="70" t="s">
        <v>96</v>
      </c>
      <c r="C19" s="76">
        <v>151</v>
      </c>
      <c r="D19" s="76">
        <v>2</v>
      </c>
      <c r="E19" s="77">
        <v>46174</v>
      </c>
      <c r="F19" s="77" t="str">
        <f>TEXT(Table2[[#This Row],[Rollout Date]],"ddd")</f>
        <v>Mon</v>
      </c>
      <c r="G19" s="72"/>
      <c r="H19" s="72" t="s">
        <v>97</v>
      </c>
      <c r="I19" s="79" t="s">
        <v>98</v>
      </c>
      <c r="J19" s="80" t="s">
        <v>38</v>
      </c>
      <c r="K19" s="117" t="s">
        <v>27</v>
      </c>
      <c r="L19" s="72"/>
      <c r="M19" s="72"/>
      <c r="N19" s="72"/>
      <c r="O19" s="72"/>
      <c r="P19" s="72"/>
      <c r="Q19" s="72"/>
      <c r="R19" s="72"/>
      <c r="S19" s="72"/>
    </row>
    <row r="20" spans="1:19" ht="16" x14ac:dyDescent="0.2">
      <c r="A20" s="70" t="s">
        <v>99</v>
      </c>
      <c r="B20" s="70" t="s">
        <v>100</v>
      </c>
      <c r="C20" s="76">
        <v>36</v>
      </c>
      <c r="D20" s="76">
        <v>2</v>
      </c>
      <c r="E20" s="77">
        <v>46174</v>
      </c>
      <c r="F20" s="77" t="str">
        <f>TEXT(Table2[[#This Row],[Rollout Date]],"ddd")</f>
        <v>Mon</v>
      </c>
      <c r="G20" s="72"/>
      <c r="H20" s="72" t="s">
        <v>101</v>
      </c>
      <c r="I20" s="79" t="s">
        <v>102</v>
      </c>
      <c r="J20" s="80" t="s">
        <v>38</v>
      </c>
      <c r="K20" s="117" t="s">
        <v>27</v>
      </c>
      <c r="L20" s="72"/>
      <c r="M20" s="72"/>
      <c r="N20" s="72"/>
      <c r="O20" s="72"/>
      <c r="P20" s="72"/>
      <c r="Q20" s="72"/>
      <c r="R20" s="72"/>
      <c r="S20" s="72"/>
    </row>
    <row r="21" spans="1:19" ht="16" x14ac:dyDescent="0.2">
      <c r="A21" s="70" t="s">
        <v>103</v>
      </c>
      <c r="B21" s="70" t="s">
        <v>104</v>
      </c>
      <c r="C21" s="76">
        <v>571</v>
      </c>
      <c r="D21" s="76">
        <v>2</v>
      </c>
      <c r="E21" s="77">
        <v>46174</v>
      </c>
      <c r="F21" s="77" t="str">
        <f>TEXT(Table2[[#This Row],[Rollout Date]],"ddd")</f>
        <v>Mon</v>
      </c>
      <c r="G21" s="72"/>
      <c r="H21" s="72" t="s">
        <v>105</v>
      </c>
      <c r="I21" s="79" t="s">
        <v>106</v>
      </c>
      <c r="J21" s="80" t="s">
        <v>38</v>
      </c>
      <c r="K21" s="117" t="s">
        <v>27</v>
      </c>
      <c r="L21" s="72"/>
      <c r="M21" s="72"/>
      <c r="N21" s="72"/>
      <c r="O21" s="72"/>
      <c r="P21" s="72"/>
      <c r="Q21" s="72"/>
      <c r="R21" s="72"/>
      <c r="S21" s="72"/>
    </row>
    <row r="22" spans="1:19" ht="16" x14ac:dyDescent="0.2">
      <c r="A22" s="70" t="s">
        <v>107</v>
      </c>
      <c r="B22" s="70" t="s">
        <v>108</v>
      </c>
      <c r="C22" s="76">
        <v>102</v>
      </c>
      <c r="D22" s="76">
        <v>3</v>
      </c>
      <c r="E22" s="77">
        <v>46204</v>
      </c>
      <c r="F22" s="77" t="str">
        <f>TEXT(Table2[[#This Row],[Rollout Date]],"ddd")</f>
        <v>Wed</v>
      </c>
      <c r="G22" s="72"/>
      <c r="H22" s="72" t="s">
        <v>110</v>
      </c>
      <c r="I22" s="79" t="s">
        <v>111</v>
      </c>
      <c r="J22" s="80" t="s">
        <v>38</v>
      </c>
      <c r="K22" s="117" t="s">
        <v>27</v>
      </c>
      <c r="L22" s="72"/>
      <c r="M22" s="72"/>
      <c r="N22" s="72"/>
      <c r="O22" s="72"/>
      <c r="P22" s="72"/>
      <c r="Q22" s="72"/>
      <c r="R22" s="72"/>
      <c r="S22" s="72"/>
    </row>
    <row r="23" spans="1:19" ht="16" x14ac:dyDescent="0.2">
      <c r="A23" s="70" t="s">
        <v>112</v>
      </c>
      <c r="B23" s="71" t="s">
        <v>113</v>
      </c>
      <c r="C23" s="76">
        <v>1666</v>
      </c>
      <c r="D23" s="76">
        <v>3</v>
      </c>
      <c r="E23" s="77">
        <v>46204</v>
      </c>
      <c r="F23" s="77" t="str">
        <f>TEXT(Table2[[#This Row],[Rollout Date]],"ddd")</f>
        <v>Wed</v>
      </c>
      <c r="G23" s="72"/>
      <c r="H23" s="72" t="s">
        <v>114</v>
      </c>
      <c r="I23" s="79" t="s">
        <v>115</v>
      </c>
      <c r="J23" s="80" t="s">
        <v>38</v>
      </c>
      <c r="K23" s="117" t="s">
        <v>27</v>
      </c>
      <c r="L23" s="72"/>
      <c r="M23" s="72"/>
      <c r="N23" s="72"/>
      <c r="O23" s="72"/>
      <c r="P23" s="72"/>
      <c r="Q23" s="72"/>
      <c r="R23" s="72"/>
      <c r="S23" s="72"/>
    </row>
    <row r="24" spans="1:19" ht="16" x14ac:dyDescent="0.2">
      <c r="A24" s="70" t="s">
        <v>116</v>
      </c>
      <c r="B24" s="71" t="s">
        <v>117</v>
      </c>
      <c r="C24" s="76">
        <v>847</v>
      </c>
      <c r="D24" s="76">
        <v>3</v>
      </c>
      <c r="E24" s="77">
        <v>46204</v>
      </c>
      <c r="F24" s="77" t="str">
        <f>TEXT(Table2[[#This Row],[Rollout Date]],"ddd")</f>
        <v>Wed</v>
      </c>
      <c r="G24" s="72"/>
      <c r="H24" s="72" t="s">
        <v>118</v>
      </c>
      <c r="I24" s="79" t="s">
        <v>119</v>
      </c>
      <c r="J24" s="80" t="s">
        <v>38</v>
      </c>
      <c r="K24" s="117" t="s">
        <v>27</v>
      </c>
      <c r="L24" s="72"/>
      <c r="M24" s="72"/>
      <c r="N24" s="72"/>
      <c r="O24" s="72"/>
      <c r="P24" s="72"/>
      <c r="Q24" s="72"/>
      <c r="R24" s="72"/>
      <c r="S24" s="72"/>
    </row>
    <row r="25" spans="1:19" ht="16" x14ac:dyDescent="0.2">
      <c r="A25" s="89" t="s">
        <v>120</v>
      </c>
      <c r="B25" s="89" t="s">
        <v>122</v>
      </c>
      <c r="C25" s="90">
        <v>1</v>
      </c>
      <c r="D25" s="90">
        <v>3</v>
      </c>
      <c r="E25" s="91">
        <v>46237</v>
      </c>
      <c r="F25" s="91" t="str">
        <f>TEXT(Table2[[#This Row],[Rollout Date]],"ddd")</f>
        <v>Mon</v>
      </c>
      <c r="G25" s="92"/>
      <c r="H25" s="92"/>
      <c r="I25" s="93"/>
      <c r="J25" s="94" t="s">
        <v>27</v>
      </c>
      <c r="K25" s="117" t="s">
        <v>27</v>
      </c>
      <c r="L25" s="72"/>
      <c r="M25" s="72"/>
      <c r="N25" s="72"/>
      <c r="O25" s="72"/>
      <c r="P25" s="72"/>
      <c r="Q25" s="72"/>
      <c r="R25" s="72"/>
      <c r="S25" s="72"/>
    </row>
    <row r="26" spans="1:19" ht="16" x14ac:dyDescent="0.2">
      <c r="A26" s="70" t="s">
        <v>123</v>
      </c>
      <c r="B26" s="70" t="s">
        <v>124</v>
      </c>
      <c r="C26" s="76">
        <v>943</v>
      </c>
      <c r="D26" s="76">
        <v>3</v>
      </c>
      <c r="E26" s="77">
        <v>46237</v>
      </c>
      <c r="F26" s="77" t="str">
        <f>TEXT(Table2[[#This Row],[Rollout Date]],"ddd")</f>
        <v>Mon</v>
      </c>
      <c r="G26" s="72"/>
      <c r="H26" s="72" t="s">
        <v>126</v>
      </c>
      <c r="I26" s="79" t="s">
        <v>127</v>
      </c>
      <c r="J26" s="80" t="s">
        <v>128</v>
      </c>
      <c r="K26" s="117" t="s">
        <v>27</v>
      </c>
      <c r="L26" s="72"/>
      <c r="M26" s="72"/>
      <c r="N26" s="72"/>
      <c r="O26" s="72"/>
      <c r="P26" s="72"/>
      <c r="Q26" s="72"/>
      <c r="R26" s="72"/>
      <c r="S26" s="72"/>
    </row>
    <row r="27" spans="1:19" ht="16" x14ac:dyDescent="0.2">
      <c r="A27" s="70" t="s">
        <v>129</v>
      </c>
      <c r="B27" s="71" t="s">
        <v>130</v>
      </c>
      <c r="C27" s="76">
        <v>342</v>
      </c>
      <c r="D27" s="76">
        <v>3</v>
      </c>
      <c r="E27" s="77">
        <v>46237</v>
      </c>
      <c r="F27" s="77" t="str">
        <f>TEXT(Table2[[#This Row],[Rollout Date]],"ddd")</f>
        <v>Mon</v>
      </c>
      <c r="G27" s="72"/>
      <c r="H27" s="72" t="s">
        <v>131</v>
      </c>
      <c r="I27" s="79" t="s">
        <v>132</v>
      </c>
      <c r="J27" s="80" t="s">
        <v>38</v>
      </c>
      <c r="K27" s="117" t="s">
        <v>27</v>
      </c>
      <c r="L27" s="72"/>
      <c r="M27" s="72"/>
      <c r="N27" s="72"/>
      <c r="O27" s="72"/>
      <c r="P27" s="72"/>
      <c r="Q27" s="72"/>
      <c r="R27" s="72"/>
      <c r="S27" s="72"/>
    </row>
    <row r="28" spans="1:19" ht="16" x14ac:dyDescent="0.2">
      <c r="A28" s="70" t="s">
        <v>133</v>
      </c>
      <c r="B28" s="71" t="s">
        <v>134</v>
      </c>
      <c r="C28" s="76">
        <v>332</v>
      </c>
      <c r="D28" s="76">
        <v>3</v>
      </c>
      <c r="E28" s="77">
        <v>46266</v>
      </c>
      <c r="F28" s="77" t="str">
        <f>TEXT(Table2[[#This Row],[Rollout Date]],"ddd")</f>
        <v>Tue</v>
      </c>
      <c r="G28" s="72"/>
      <c r="H28" s="72" t="s">
        <v>135</v>
      </c>
      <c r="I28" s="79" t="s">
        <v>136</v>
      </c>
      <c r="J28" s="80" t="s">
        <v>38</v>
      </c>
      <c r="K28" s="117" t="s">
        <v>27</v>
      </c>
      <c r="L28" s="72"/>
      <c r="M28" s="72"/>
      <c r="N28" s="72"/>
      <c r="O28" s="72"/>
      <c r="P28" s="72"/>
      <c r="Q28" s="72"/>
      <c r="R28" s="72"/>
      <c r="S28" s="72"/>
    </row>
    <row r="29" spans="1:19" ht="16" x14ac:dyDescent="0.2">
      <c r="A29" s="70" t="s">
        <v>137</v>
      </c>
      <c r="B29" s="70" t="s">
        <v>138</v>
      </c>
      <c r="C29" s="76">
        <v>236</v>
      </c>
      <c r="D29" s="76">
        <v>3</v>
      </c>
      <c r="E29" s="77">
        <v>46266</v>
      </c>
      <c r="F29" s="77" t="str">
        <f>TEXT(Table2[[#This Row],[Rollout Date]],"ddd")</f>
        <v>Tue</v>
      </c>
      <c r="G29" s="72"/>
      <c r="H29" s="72" t="s">
        <v>139</v>
      </c>
      <c r="I29" s="79" t="s">
        <v>140</v>
      </c>
      <c r="J29" s="80" t="s">
        <v>38</v>
      </c>
      <c r="K29" s="117" t="s">
        <v>27</v>
      </c>
      <c r="L29" s="72"/>
      <c r="M29" s="72"/>
      <c r="N29" s="72"/>
      <c r="O29" s="72"/>
      <c r="P29" s="72"/>
      <c r="Q29" s="72"/>
      <c r="R29" s="72"/>
      <c r="S29" s="72"/>
    </row>
    <row r="30" spans="1:19" ht="16" x14ac:dyDescent="0.2">
      <c r="A30" s="70" t="s">
        <v>141</v>
      </c>
      <c r="B30" s="71" t="s">
        <v>142</v>
      </c>
      <c r="C30" s="76">
        <v>208</v>
      </c>
      <c r="D30" s="76">
        <v>3</v>
      </c>
      <c r="E30" s="77">
        <v>46266</v>
      </c>
      <c r="F30" s="77" t="str">
        <f>TEXT(Table2[[#This Row],[Rollout Date]],"ddd")</f>
        <v>Tue</v>
      </c>
      <c r="G30" s="72"/>
      <c r="H30" s="72" t="s">
        <v>143</v>
      </c>
      <c r="I30" s="79" t="s">
        <v>144</v>
      </c>
      <c r="J30" s="80" t="s">
        <v>38</v>
      </c>
      <c r="K30" s="117" t="s">
        <v>27</v>
      </c>
      <c r="L30" s="72"/>
      <c r="M30" s="72"/>
      <c r="N30" s="72"/>
      <c r="O30" s="72"/>
      <c r="P30" s="72"/>
      <c r="Q30" s="72"/>
      <c r="R30" s="72"/>
      <c r="S30" s="72"/>
    </row>
    <row r="31" spans="1:19" ht="16" x14ac:dyDescent="0.2">
      <c r="A31" s="89" t="s">
        <v>145</v>
      </c>
      <c r="B31" s="89" t="s">
        <v>146</v>
      </c>
      <c r="C31" s="90">
        <v>357</v>
      </c>
      <c r="D31" s="90">
        <v>4</v>
      </c>
      <c r="E31" s="91">
        <v>46296</v>
      </c>
      <c r="F31" s="91" t="str">
        <f>TEXT(Table2[[#This Row],[Rollout Date]],"ddd")</f>
        <v>Thu</v>
      </c>
      <c r="G31" s="92"/>
      <c r="H31" s="92"/>
      <c r="I31" s="93"/>
      <c r="J31" s="94" t="s">
        <v>27</v>
      </c>
      <c r="K31" s="117" t="s">
        <v>27</v>
      </c>
      <c r="L31" s="72"/>
      <c r="M31" s="72"/>
      <c r="N31" s="72"/>
      <c r="O31" s="72"/>
      <c r="P31" s="72"/>
      <c r="Q31" s="72"/>
      <c r="R31" s="72"/>
      <c r="S31" s="72"/>
    </row>
    <row r="32" spans="1:19" ht="16" x14ac:dyDescent="0.2">
      <c r="A32" s="70" t="s">
        <v>147</v>
      </c>
      <c r="B32" s="70" t="s">
        <v>148</v>
      </c>
      <c r="C32" s="76">
        <v>108</v>
      </c>
      <c r="D32" s="76">
        <v>4</v>
      </c>
      <c r="E32" s="77">
        <v>46296</v>
      </c>
      <c r="F32" s="77" t="str">
        <f>TEXT(Table2[[#This Row],[Rollout Date]],"ddd")</f>
        <v>Thu</v>
      </c>
      <c r="G32" s="72"/>
      <c r="H32" s="72" t="s">
        <v>149</v>
      </c>
      <c r="I32" s="79" t="s">
        <v>150</v>
      </c>
      <c r="J32" s="80" t="s">
        <v>151</v>
      </c>
      <c r="K32" s="117" t="s">
        <v>27</v>
      </c>
      <c r="L32" s="72"/>
      <c r="M32" s="72"/>
      <c r="N32" s="72"/>
      <c r="O32" s="72"/>
      <c r="P32" s="72"/>
      <c r="Q32" s="72"/>
      <c r="R32" s="72"/>
      <c r="S32" s="72"/>
    </row>
    <row r="33" spans="1:20" ht="16" x14ac:dyDescent="0.2">
      <c r="A33" s="95" t="s">
        <v>152</v>
      </c>
      <c r="B33" s="100" t="s">
        <v>153</v>
      </c>
      <c r="C33" s="96">
        <v>11</v>
      </c>
      <c r="D33" s="96">
        <v>4</v>
      </c>
      <c r="E33" s="97">
        <v>46296</v>
      </c>
      <c r="F33" s="97" t="str">
        <f>TEXT(Table2[[#This Row],[Rollout Date]],"ddd")</f>
        <v>Thu</v>
      </c>
      <c r="G33" s="98"/>
      <c r="H33" s="98"/>
      <c r="I33" s="99"/>
      <c r="J33" s="99" t="s">
        <v>27</v>
      </c>
      <c r="K33" s="117" t="s">
        <v>27</v>
      </c>
      <c r="L33" s="72"/>
      <c r="M33" s="72"/>
      <c r="N33" s="72"/>
      <c r="O33" s="72"/>
      <c r="P33" s="72"/>
      <c r="Q33" s="72"/>
      <c r="R33" s="72"/>
      <c r="S33" s="72"/>
    </row>
    <row r="34" spans="1:20" ht="16" x14ac:dyDescent="0.2">
      <c r="A34" s="95" t="s">
        <v>154</v>
      </c>
      <c r="B34" s="95" t="s">
        <v>155</v>
      </c>
      <c r="C34" s="96">
        <v>2</v>
      </c>
      <c r="D34" s="96">
        <v>4</v>
      </c>
      <c r="E34" s="97">
        <v>46296</v>
      </c>
      <c r="F34" s="97" t="str">
        <f>TEXT(Table2[[#This Row],[Rollout Date]],"ddd")</f>
        <v>Thu</v>
      </c>
      <c r="G34" s="98"/>
      <c r="H34" s="98"/>
      <c r="I34" s="99"/>
      <c r="J34" s="99" t="s">
        <v>27</v>
      </c>
      <c r="K34" s="117" t="s">
        <v>27</v>
      </c>
      <c r="L34" s="72"/>
      <c r="M34" s="72"/>
      <c r="N34" s="72"/>
      <c r="O34" s="72"/>
      <c r="P34" s="72"/>
      <c r="Q34" s="72"/>
      <c r="R34" s="72"/>
      <c r="S34" s="72"/>
    </row>
    <row r="35" spans="1:20" ht="16" x14ac:dyDescent="0.2">
      <c r="A35" s="95" t="s">
        <v>156</v>
      </c>
      <c r="B35" s="100" t="s">
        <v>157</v>
      </c>
      <c r="C35" s="96">
        <v>23</v>
      </c>
      <c r="D35" s="96">
        <v>4</v>
      </c>
      <c r="E35" s="97">
        <v>46296</v>
      </c>
      <c r="F35" s="97" t="str">
        <f>TEXT(Table2[[#This Row],[Rollout Date]],"ddd")</f>
        <v>Thu</v>
      </c>
      <c r="G35" s="98"/>
      <c r="H35" s="98"/>
      <c r="I35" s="99"/>
      <c r="J35" s="99" t="s">
        <v>27</v>
      </c>
      <c r="K35" s="117" t="s">
        <v>27</v>
      </c>
      <c r="L35" s="72"/>
      <c r="M35" s="72"/>
      <c r="N35" s="72"/>
      <c r="O35" s="72"/>
      <c r="P35" s="72"/>
      <c r="Q35" s="72"/>
      <c r="R35" s="72"/>
      <c r="S35" s="72"/>
    </row>
    <row r="36" spans="1:20" ht="16" x14ac:dyDescent="0.2">
      <c r="A36" s="70" t="s">
        <v>158</v>
      </c>
      <c r="B36" s="70" t="s">
        <v>159</v>
      </c>
      <c r="C36" s="76">
        <v>3507</v>
      </c>
      <c r="D36" s="76">
        <v>4</v>
      </c>
      <c r="E36" s="77">
        <v>46296</v>
      </c>
      <c r="F36" s="77" t="str">
        <f>TEXT(Table2[[#This Row],[Rollout Date]],"ddd")</f>
        <v>Thu</v>
      </c>
      <c r="G36" s="72"/>
      <c r="H36" s="72" t="s">
        <v>160</v>
      </c>
      <c r="I36" s="79" t="s">
        <v>161</v>
      </c>
      <c r="J36" s="80" t="s">
        <v>38</v>
      </c>
      <c r="K36" s="117" t="s">
        <v>27</v>
      </c>
      <c r="L36" s="72"/>
      <c r="M36" s="72"/>
      <c r="N36" s="72"/>
      <c r="O36" s="72"/>
      <c r="P36" s="72"/>
      <c r="Q36" s="72"/>
      <c r="R36" s="72"/>
      <c r="S36" s="72"/>
    </row>
    <row r="37" spans="1:20" ht="16" x14ac:dyDescent="0.2">
      <c r="A37" s="70" t="s">
        <v>162</v>
      </c>
      <c r="B37" s="70" t="s">
        <v>163</v>
      </c>
      <c r="C37" s="76">
        <v>98</v>
      </c>
      <c r="D37" s="76">
        <v>4</v>
      </c>
      <c r="E37" s="77">
        <v>46328</v>
      </c>
      <c r="F37" s="77" t="str">
        <f>TEXT(Table2[[#This Row],[Rollout Date]],"ddd")</f>
        <v>Mon</v>
      </c>
      <c r="G37" s="72"/>
      <c r="H37" s="72" t="s">
        <v>164</v>
      </c>
      <c r="I37" s="79" t="s">
        <v>165</v>
      </c>
      <c r="J37" s="80" t="s">
        <v>166</v>
      </c>
      <c r="K37" s="117" t="s">
        <v>27</v>
      </c>
      <c r="L37" s="72"/>
      <c r="M37" s="72"/>
      <c r="N37" s="72"/>
      <c r="O37" s="72"/>
      <c r="P37" s="72"/>
      <c r="Q37" s="72"/>
      <c r="R37" s="72"/>
      <c r="S37" s="72"/>
    </row>
    <row r="38" spans="1:20" ht="16" x14ac:dyDescent="0.2">
      <c r="A38" s="95" t="s">
        <v>167</v>
      </c>
      <c r="B38" s="95" t="s">
        <v>168</v>
      </c>
      <c r="C38" s="96">
        <v>110</v>
      </c>
      <c r="D38" s="96">
        <v>4</v>
      </c>
      <c r="E38" s="97">
        <v>46328</v>
      </c>
      <c r="F38" s="97" t="str">
        <f>TEXT(Table2[[#This Row],[Rollout Date]],"ddd")</f>
        <v>Mon</v>
      </c>
      <c r="G38" s="98"/>
      <c r="H38" s="98"/>
      <c r="I38" s="99"/>
      <c r="J38" s="99" t="s">
        <v>27</v>
      </c>
      <c r="K38" s="117" t="s">
        <v>27</v>
      </c>
      <c r="L38" s="72"/>
      <c r="M38" s="72"/>
      <c r="N38" s="72"/>
      <c r="O38" s="72"/>
      <c r="P38" s="72"/>
      <c r="Q38" s="72"/>
      <c r="R38" s="72"/>
      <c r="S38" s="72"/>
      <c r="T38" s="70"/>
    </row>
    <row r="39" spans="1:20" ht="16" x14ac:dyDescent="0.2">
      <c r="A39" s="95" t="s">
        <v>170</v>
      </c>
      <c r="B39" s="100" t="s">
        <v>171</v>
      </c>
      <c r="C39" s="96">
        <v>4</v>
      </c>
      <c r="D39" s="96">
        <v>4</v>
      </c>
      <c r="E39" s="97">
        <v>46328</v>
      </c>
      <c r="F39" s="97" t="str">
        <f>TEXT(Table2[[#This Row],[Rollout Date]],"ddd")</f>
        <v>Mon</v>
      </c>
      <c r="G39" s="98"/>
      <c r="H39" s="98"/>
      <c r="I39" s="99"/>
      <c r="J39" s="99" t="s">
        <v>27</v>
      </c>
      <c r="K39" s="117" t="s">
        <v>27</v>
      </c>
      <c r="L39" s="72"/>
      <c r="M39" s="72"/>
      <c r="N39" s="72"/>
      <c r="O39" s="72"/>
      <c r="P39" s="72"/>
      <c r="Q39" s="72"/>
      <c r="R39" s="72"/>
      <c r="S39" s="72"/>
      <c r="T39" s="71" t="s">
        <v>214</v>
      </c>
    </row>
    <row r="40" spans="1:20" ht="16" x14ac:dyDescent="0.2">
      <c r="A40" s="70" t="s">
        <v>172</v>
      </c>
      <c r="B40" s="71" t="s">
        <v>173</v>
      </c>
      <c r="C40" s="76">
        <v>85</v>
      </c>
      <c r="D40" s="76">
        <v>4</v>
      </c>
      <c r="E40" s="77">
        <v>46357</v>
      </c>
      <c r="F40" s="77" t="str">
        <f>TEXT(Table2[[#This Row],[Rollout Date]],"ddd")</f>
        <v>Tue</v>
      </c>
      <c r="G40" s="72"/>
      <c r="H40" s="72" t="s">
        <v>175</v>
      </c>
      <c r="I40" s="79" t="s">
        <v>176</v>
      </c>
      <c r="J40" s="80" t="s">
        <v>177</v>
      </c>
      <c r="K40" s="117" t="s">
        <v>27</v>
      </c>
      <c r="L40" s="72"/>
      <c r="M40" s="72"/>
      <c r="N40" s="72"/>
      <c r="O40" s="72"/>
      <c r="P40" s="72"/>
      <c r="Q40" s="72"/>
      <c r="R40" s="72"/>
      <c r="S40" s="72"/>
    </row>
    <row r="41" spans="1:20" ht="16" x14ac:dyDescent="0.2">
      <c r="A41" s="83" t="s">
        <v>178</v>
      </c>
      <c r="B41" s="83" t="s">
        <v>179</v>
      </c>
      <c r="C41" s="85"/>
      <c r="D41" s="85">
        <v>1</v>
      </c>
      <c r="E41" s="85"/>
      <c r="F41" s="86" t="str">
        <f>TEXT(Table2[[#This Row],[Rollout Date]],"ddd")</f>
        <v>Sat</v>
      </c>
      <c r="G41" s="87"/>
      <c r="H41" s="87"/>
      <c r="I41" s="88"/>
      <c r="J41" s="88" t="s">
        <v>27</v>
      </c>
      <c r="K41" s="117" t="s">
        <v>27</v>
      </c>
      <c r="L41" s="72"/>
      <c r="M41" s="72"/>
      <c r="N41" s="72"/>
      <c r="O41" s="72"/>
      <c r="P41" s="72"/>
      <c r="Q41" s="72"/>
      <c r="R41" s="72"/>
      <c r="S41" s="72"/>
    </row>
  </sheetData>
  <hyperlinks>
    <hyperlink ref="I2" r:id="rId1" xr:uid="{3E23709B-6E58-43FA-9182-15289AED38BF}"/>
    <hyperlink ref="I5" r:id="rId2" xr:uid="{815AAD94-7BFA-4A6A-AAE3-0EF9547B6C53}"/>
    <hyperlink ref="I32" r:id="rId3" xr:uid="{BEFAEFAA-AFEF-4985-8B39-0DD7BFBB5F57}"/>
    <hyperlink ref="I6" r:id="rId4" xr:uid="{79EA7633-7639-45F8-AFBB-886C2B794AA3}"/>
    <hyperlink ref="I3" r:id="rId5" xr:uid="{AEE76EEA-F100-4701-82CE-450034223277}"/>
    <hyperlink ref="I22" r:id="rId6" xr:uid="{26F9B3C3-C9DC-463F-AFFC-DD1E1FA761D1}"/>
    <hyperlink ref="I13" r:id="rId7" xr:uid="{676131DE-6633-4C35-A9A7-4904B47DECC3}"/>
    <hyperlink ref="I19" r:id="rId8" xr:uid="{F394EA5D-FC82-4534-AFAB-0F705B807B33}"/>
    <hyperlink ref="I37" r:id="rId9" xr:uid="{B4D74CB9-6770-4906-9E92-2AB809A86CF0}"/>
    <hyperlink ref="I26" r:id="rId10" xr:uid="{7EE61328-9436-40F3-B889-4BE423B86923}"/>
    <hyperlink ref="I28" r:id="rId11" xr:uid="{D64DEAC7-E5C5-4276-89F7-074C6021E23D}"/>
    <hyperlink ref="I14" r:id="rId12" xr:uid="{668488BF-E2FD-43E6-91F2-546C10774B5A}"/>
    <hyperlink ref="I4" r:id="rId13" xr:uid="{7BF05BFD-3658-4CA9-ACCF-0EFF01EE017B}"/>
    <hyperlink ref="I29" r:id="rId14" xr:uid="{76B51EFD-4BCE-4481-8E5A-F7B1672D191B}"/>
    <hyperlink ref="I23" r:id="rId15" xr:uid="{E1BC222B-6839-4F73-BFBD-A5423505C4C1}"/>
    <hyperlink ref="I27" r:id="rId16" xr:uid="{4942B7E0-275D-4B46-97F1-9A42A6F6DF87}"/>
    <hyperlink ref="I7" r:id="rId17" xr:uid="{2C5E431D-761A-4F14-97EE-2F33A93739F5}"/>
    <hyperlink ref="I20" r:id="rId18" xr:uid="{37EC8B75-4B88-40CC-8520-F11C3D43C701}"/>
    <hyperlink ref="I40" r:id="rId19" xr:uid="{60938C56-C206-4A6E-86FF-82C4648E0357}"/>
    <hyperlink ref="I30" r:id="rId20" xr:uid="{D22473A9-7A2F-437A-970E-638993380767}"/>
    <hyperlink ref="I24" r:id="rId21" xr:uid="{AFC7184B-B6D9-48C4-9C14-3CFBE9540BE8}"/>
    <hyperlink ref="I18" r:id="rId22" xr:uid="{6CD3E33E-4EB3-4BC5-81BE-13EDAC780A19}"/>
    <hyperlink ref="I21" r:id="rId23" xr:uid="{274891F3-E2C6-47AA-A802-A4EC14A5E2F1}"/>
    <hyperlink ref="I11" r:id="rId24" xr:uid="{6B28154F-90B5-478E-8E18-981A5262D3AB}"/>
    <hyperlink ref="I12" r:id="rId25" xr:uid="{91818026-A55F-4470-BB45-C91B80043FF6}"/>
    <hyperlink ref="I36" r:id="rId26" xr:uid="{94E3BD2B-3CCF-4672-B38D-602A03A211B5}"/>
    <hyperlink ref="I8" r:id="rId27" xr:uid="{C37A3F28-BEC4-48C3-B03A-1F5FF6193601}"/>
  </hyperlinks>
  <pageMargins left="0.7" right="0.7" top="0.75" bottom="0.75" header="0.3" footer="0.3"/>
  <tableParts count="1">
    <tablePart r:id="rId2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2C8CA-18B6-4FF2-BE0E-A03AA3D3BC93}">
  <dimension ref="A1:J41"/>
  <sheetViews>
    <sheetView topLeftCell="B1" workbookViewId="0">
      <selection activeCell="AA4" sqref="AA4"/>
    </sheetView>
  </sheetViews>
  <sheetFormatPr baseColWidth="10" defaultColWidth="8.83203125" defaultRowHeight="15" x14ac:dyDescent="0.2"/>
  <cols>
    <col min="1" max="1" width="10.6640625" bestFit="1" customWidth="1"/>
    <col min="2" max="2" width="37.5" customWidth="1"/>
    <col min="3" max="3" width="5.5" bestFit="1" customWidth="1"/>
    <col min="4" max="4" width="17.5" bestFit="1" customWidth="1"/>
    <col min="5" max="5" width="8.1640625" bestFit="1" customWidth="1"/>
    <col min="6" max="7" width="8.1640625" customWidth="1"/>
    <col min="8" max="8" width="17.1640625" bestFit="1" customWidth="1"/>
    <col min="9" max="9" width="15" bestFit="1" customWidth="1"/>
    <col min="10" max="10" width="53.83203125" customWidth="1"/>
  </cols>
  <sheetData>
    <row r="1" spans="1:10" x14ac:dyDescent="0.2">
      <c r="A1" s="1" t="s">
        <v>215</v>
      </c>
      <c r="B1" s="1" t="s">
        <v>1</v>
      </c>
      <c r="C1" s="2" t="s">
        <v>3</v>
      </c>
      <c r="D1" s="2" t="s">
        <v>216</v>
      </c>
      <c r="E1" s="1" t="s">
        <v>217</v>
      </c>
      <c r="F1" s="1" t="s">
        <v>181</v>
      </c>
      <c r="G1" s="1" t="s">
        <v>218</v>
      </c>
      <c r="H1" s="1" t="s">
        <v>219</v>
      </c>
      <c r="I1" s="1" t="s">
        <v>220</v>
      </c>
    </row>
    <row r="2" spans="1:10" x14ac:dyDescent="0.2">
      <c r="A2" s="1" t="s">
        <v>39</v>
      </c>
      <c r="B2" s="1" t="s">
        <v>40</v>
      </c>
      <c r="C2" s="3">
        <v>79</v>
      </c>
      <c r="D2" s="4" t="s">
        <v>221</v>
      </c>
      <c r="E2" s="1"/>
      <c r="F2" s="1"/>
      <c r="G2" s="1"/>
      <c r="H2" s="1"/>
      <c r="I2" s="1"/>
      <c r="J2" t="s">
        <v>222</v>
      </c>
    </row>
    <row r="3" spans="1:10" s="10" customFormat="1" x14ac:dyDescent="0.2">
      <c r="A3" s="7" t="s">
        <v>145</v>
      </c>
      <c r="B3" s="7" t="s">
        <v>146</v>
      </c>
      <c r="C3" s="8">
        <v>357</v>
      </c>
      <c r="D3" s="9"/>
      <c r="E3" s="7"/>
      <c r="F3" s="7"/>
      <c r="G3" s="7"/>
      <c r="H3" s="7"/>
      <c r="I3" s="7"/>
    </row>
    <row r="4" spans="1:10" s="10" customFormat="1" x14ac:dyDescent="0.2">
      <c r="A4" s="7" t="s">
        <v>147</v>
      </c>
      <c r="B4" s="7" t="s">
        <v>148</v>
      </c>
      <c r="C4" s="8">
        <v>108</v>
      </c>
      <c r="D4" s="9"/>
      <c r="E4" s="7"/>
      <c r="F4" s="7"/>
      <c r="G4" s="7"/>
      <c r="H4" s="7"/>
      <c r="I4" s="7"/>
      <c r="J4" s="10" t="s">
        <v>223</v>
      </c>
    </row>
    <row r="5" spans="1:10" x14ac:dyDescent="0.2">
      <c r="A5" s="1" t="s">
        <v>152</v>
      </c>
      <c r="B5" s="1" t="s">
        <v>224</v>
      </c>
      <c r="C5" s="3">
        <v>11</v>
      </c>
      <c r="D5" s="4"/>
      <c r="E5" s="1"/>
      <c r="F5" s="1"/>
      <c r="G5" s="1"/>
      <c r="H5" s="1"/>
      <c r="I5" s="1"/>
      <c r="J5" t="s">
        <v>153</v>
      </c>
    </row>
    <row r="6" spans="1:10" x14ac:dyDescent="0.2">
      <c r="A6" s="1" t="s">
        <v>120</v>
      </c>
      <c r="B6" s="1" t="s">
        <v>122</v>
      </c>
      <c r="C6" s="3">
        <v>1</v>
      </c>
      <c r="D6" s="4"/>
      <c r="E6" s="1"/>
      <c r="F6" s="1"/>
      <c r="G6" s="1"/>
      <c r="H6" s="1"/>
      <c r="I6" s="1"/>
    </row>
    <row r="7" spans="1:10" x14ac:dyDescent="0.2">
      <c r="A7" s="1" t="s">
        <v>45</v>
      </c>
      <c r="B7" s="1" t="s">
        <v>46</v>
      </c>
      <c r="C7" s="3">
        <v>291</v>
      </c>
      <c r="D7" s="4"/>
      <c r="E7" s="1"/>
      <c r="F7" s="1"/>
      <c r="G7" s="1"/>
      <c r="H7" s="1"/>
      <c r="I7" s="1"/>
    </row>
    <row r="8" spans="1:10" x14ac:dyDescent="0.2">
      <c r="A8" s="1" t="s">
        <v>107</v>
      </c>
      <c r="B8" s="1" t="s">
        <v>108</v>
      </c>
      <c r="C8" s="3">
        <v>102</v>
      </c>
      <c r="D8" s="4"/>
      <c r="E8" s="1"/>
      <c r="F8" s="1"/>
      <c r="G8" s="1"/>
      <c r="H8" s="1"/>
      <c r="I8" s="1"/>
    </row>
    <row r="9" spans="1:10" s="10" customFormat="1" x14ac:dyDescent="0.2">
      <c r="A9" s="7" t="s">
        <v>28</v>
      </c>
      <c r="B9" s="7" t="s">
        <v>225</v>
      </c>
      <c r="C9" s="8">
        <v>272</v>
      </c>
      <c r="D9" s="9"/>
      <c r="E9" s="7"/>
      <c r="F9" s="7"/>
      <c r="G9" s="7"/>
      <c r="H9" s="7"/>
      <c r="I9" s="7"/>
      <c r="J9" s="10" t="s">
        <v>29</v>
      </c>
    </row>
    <row r="10" spans="1:10" x14ac:dyDescent="0.2">
      <c r="A10" s="1" t="s">
        <v>154</v>
      </c>
      <c r="B10" s="1" t="s">
        <v>155</v>
      </c>
      <c r="C10" s="3">
        <v>2</v>
      </c>
      <c r="D10" s="4"/>
      <c r="E10" s="1"/>
      <c r="F10" s="1"/>
      <c r="G10" s="1"/>
      <c r="H10" s="1"/>
      <c r="I10" s="1"/>
    </row>
    <row r="11" spans="1:10" x14ac:dyDescent="0.2">
      <c r="A11" s="1" t="s">
        <v>156</v>
      </c>
      <c r="B11" s="1" t="s">
        <v>226</v>
      </c>
      <c r="C11" s="3">
        <v>23</v>
      </c>
      <c r="D11" s="4" t="s">
        <v>227</v>
      </c>
      <c r="E11" s="1"/>
      <c r="F11" s="1"/>
      <c r="G11" s="1"/>
      <c r="H11" s="1"/>
      <c r="I11" s="1"/>
      <c r="J11" t="s">
        <v>157</v>
      </c>
    </row>
    <row r="12" spans="1:10" s="10" customFormat="1" x14ac:dyDescent="0.2">
      <c r="A12" s="7" t="s">
        <v>95</v>
      </c>
      <c r="B12" s="7" t="s">
        <v>96</v>
      </c>
      <c r="C12" s="8">
        <v>151</v>
      </c>
      <c r="D12" s="9"/>
      <c r="E12" s="7"/>
      <c r="F12" s="7"/>
      <c r="G12" s="7"/>
      <c r="H12" s="7"/>
      <c r="I12" s="7"/>
    </row>
    <row r="13" spans="1:10" x14ac:dyDescent="0.2">
      <c r="A13" s="1" t="s">
        <v>74</v>
      </c>
      <c r="B13" s="1" t="s">
        <v>75</v>
      </c>
      <c r="C13" s="3">
        <v>24</v>
      </c>
      <c r="D13" s="4" t="s">
        <v>227</v>
      </c>
      <c r="E13" s="1"/>
      <c r="F13" s="1"/>
      <c r="G13" s="1"/>
      <c r="H13" s="1"/>
      <c r="I13" s="1"/>
    </row>
    <row r="14" spans="1:10" x14ac:dyDescent="0.2">
      <c r="A14" s="1" t="s">
        <v>162</v>
      </c>
      <c r="B14" s="1" t="s">
        <v>163</v>
      </c>
      <c r="C14" s="3">
        <v>98</v>
      </c>
      <c r="D14" s="4" t="s">
        <v>228</v>
      </c>
      <c r="E14" s="1"/>
      <c r="F14" s="1"/>
      <c r="G14" s="1"/>
      <c r="H14" s="1"/>
      <c r="I14" s="1"/>
    </row>
    <row r="15" spans="1:10" s="10" customFormat="1" x14ac:dyDescent="0.2">
      <c r="A15" s="7" t="s">
        <v>123</v>
      </c>
      <c r="B15" s="7" t="s">
        <v>124</v>
      </c>
      <c r="C15" s="8">
        <v>943</v>
      </c>
      <c r="D15" s="9"/>
      <c r="E15" s="7"/>
      <c r="F15" s="7"/>
      <c r="G15" s="7"/>
      <c r="H15" s="7"/>
      <c r="I15" s="7"/>
    </row>
    <row r="16" spans="1:10" x14ac:dyDescent="0.2">
      <c r="A16" s="1" t="s">
        <v>133</v>
      </c>
      <c r="B16" s="1" t="s">
        <v>229</v>
      </c>
      <c r="C16" s="3">
        <v>332</v>
      </c>
      <c r="D16" s="4"/>
      <c r="E16" s="1"/>
      <c r="F16" s="1"/>
      <c r="G16" s="1"/>
      <c r="H16" s="1"/>
      <c r="I16" s="1"/>
      <c r="J16" t="s">
        <v>134</v>
      </c>
    </row>
    <row r="17" spans="1:10" s="10" customFormat="1" x14ac:dyDescent="0.2">
      <c r="A17" s="7" t="s">
        <v>178</v>
      </c>
      <c r="B17" s="7" t="s">
        <v>179</v>
      </c>
      <c r="C17" s="8"/>
      <c r="D17" s="9"/>
      <c r="E17" s="7"/>
      <c r="F17" s="7"/>
      <c r="G17" s="7"/>
      <c r="H17" s="7"/>
      <c r="I17" s="7"/>
    </row>
    <row r="18" spans="1:10" s="10" customFormat="1" x14ac:dyDescent="0.2">
      <c r="A18" s="7" t="s">
        <v>79</v>
      </c>
      <c r="B18" s="7" t="s">
        <v>80</v>
      </c>
      <c r="C18" s="8">
        <v>426</v>
      </c>
      <c r="D18" s="9" t="s">
        <v>230</v>
      </c>
      <c r="E18" s="7"/>
      <c r="F18" s="7"/>
      <c r="G18" s="7"/>
      <c r="H18" s="7"/>
      <c r="I18" s="7"/>
    </row>
    <row r="19" spans="1:10" s="10" customFormat="1" x14ac:dyDescent="0.2">
      <c r="A19" s="7" t="s">
        <v>34</v>
      </c>
      <c r="B19" s="7" t="s">
        <v>231</v>
      </c>
      <c r="C19" s="8">
        <v>777</v>
      </c>
      <c r="D19" s="9" t="s">
        <v>232</v>
      </c>
      <c r="E19" s="7"/>
      <c r="F19" s="7"/>
      <c r="G19" s="7"/>
      <c r="H19" s="7"/>
      <c r="I19" s="7"/>
      <c r="J19" s="10" t="s">
        <v>35</v>
      </c>
    </row>
    <row r="20" spans="1:10" s="10" customFormat="1" x14ac:dyDescent="0.2">
      <c r="A20" s="7" t="s">
        <v>137</v>
      </c>
      <c r="B20" s="7" t="s">
        <v>138</v>
      </c>
      <c r="C20" s="8">
        <v>236</v>
      </c>
      <c r="D20" s="9" t="s">
        <v>233</v>
      </c>
      <c r="E20" s="7"/>
      <c r="F20" s="7"/>
      <c r="G20" s="7"/>
      <c r="H20" s="7"/>
      <c r="I20" s="7"/>
    </row>
    <row r="21" spans="1:10" x14ac:dyDescent="0.2">
      <c r="A21" s="1" t="s">
        <v>21</v>
      </c>
      <c r="B21" s="1" t="s">
        <v>22</v>
      </c>
      <c r="C21" s="3">
        <v>1293</v>
      </c>
      <c r="D21" s="4"/>
      <c r="E21" s="1"/>
      <c r="F21" s="1"/>
      <c r="G21" s="1"/>
      <c r="H21" s="1"/>
      <c r="I21" s="1"/>
    </row>
    <row r="22" spans="1:10" s="10" customFormat="1" x14ac:dyDescent="0.2">
      <c r="A22" s="7" t="s">
        <v>129</v>
      </c>
      <c r="B22" s="12" t="s">
        <v>113</v>
      </c>
      <c r="C22" s="8">
        <v>342</v>
      </c>
      <c r="D22" s="9"/>
      <c r="E22" s="7"/>
      <c r="F22" s="7"/>
      <c r="G22" s="7"/>
      <c r="H22" s="7"/>
      <c r="I22" s="7"/>
      <c r="J22" s="10" t="s">
        <v>130</v>
      </c>
    </row>
    <row r="23" spans="1:10" x14ac:dyDescent="0.2">
      <c r="A23" s="1" t="s">
        <v>51</v>
      </c>
      <c r="B23" s="1" t="s">
        <v>52</v>
      </c>
      <c r="C23" s="3">
        <v>2076</v>
      </c>
      <c r="D23" s="4"/>
      <c r="E23" s="1"/>
      <c r="F23" s="1"/>
      <c r="G23" s="1"/>
      <c r="H23" s="1"/>
      <c r="I23" s="1"/>
    </row>
    <row r="24" spans="1:10" s="10" customFormat="1" x14ac:dyDescent="0.2">
      <c r="A24" s="7" t="s">
        <v>112</v>
      </c>
      <c r="B24" s="12" t="s">
        <v>234</v>
      </c>
      <c r="C24" s="8">
        <v>1666</v>
      </c>
      <c r="D24" s="9"/>
      <c r="E24" s="7"/>
      <c r="F24" s="7"/>
      <c r="G24" s="7"/>
      <c r="H24" s="7"/>
      <c r="I24" s="7"/>
      <c r="J24" s="10" t="s">
        <v>113</v>
      </c>
    </row>
    <row r="25" spans="1:10" x14ac:dyDescent="0.2">
      <c r="A25" s="1" t="s">
        <v>84</v>
      </c>
      <c r="B25" s="11" t="s">
        <v>235</v>
      </c>
      <c r="C25" s="3">
        <v>10</v>
      </c>
      <c r="D25" s="4"/>
      <c r="E25" s="1"/>
      <c r="F25" s="1"/>
      <c r="G25" s="1"/>
      <c r="H25" s="1"/>
      <c r="I25" s="1"/>
      <c r="J25" t="s">
        <v>85</v>
      </c>
    </row>
    <row r="26" spans="1:10" s="10" customFormat="1" x14ac:dyDescent="0.2">
      <c r="A26" s="7" t="s">
        <v>99</v>
      </c>
      <c r="B26" s="7" t="s">
        <v>100</v>
      </c>
      <c r="C26" s="8">
        <v>36</v>
      </c>
      <c r="D26" s="9" t="s">
        <v>221</v>
      </c>
      <c r="E26" s="7"/>
      <c r="F26" s="7"/>
      <c r="G26" s="7"/>
      <c r="H26" s="7"/>
      <c r="I26" s="7"/>
    </row>
    <row r="27" spans="1:10" x14ac:dyDescent="0.2">
      <c r="A27" s="1" t="s">
        <v>56</v>
      </c>
      <c r="B27" s="11" t="s">
        <v>168</v>
      </c>
      <c r="C27" s="3">
        <v>16</v>
      </c>
      <c r="D27" s="4" t="s">
        <v>227</v>
      </c>
      <c r="E27" s="1"/>
      <c r="F27" s="1"/>
      <c r="G27" s="1"/>
      <c r="H27" s="1"/>
      <c r="I27" s="1"/>
      <c r="J27" t="s">
        <v>57</v>
      </c>
    </row>
    <row r="28" spans="1:10" s="10" customFormat="1" x14ac:dyDescent="0.2">
      <c r="A28" s="7" t="s">
        <v>61</v>
      </c>
      <c r="B28" s="7" t="s">
        <v>236</v>
      </c>
      <c r="C28" s="8"/>
      <c r="D28" s="9"/>
      <c r="E28" s="7"/>
      <c r="F28" s="7"/>
      <c r="G28" s="7"/>
      <c r="H28" s="7"/>
      <c r="I28" s="7"/>
      <c r="J28" s="10" t="s">
        <v>62</v>
      </c>
    </row>
    <row r="29" spans="1:10" x14ac:dyDescent="0.2">
      <c r="A29" s="1" t="s">
        <v>59</v>
      </c>
      <c r="B29" s="11" t="s">
        <v>117</v>
      </c>
      <c r="C29" s="3">
        <v>43</v>
      </c>
      <c r="D29" s="4"/>
      <c r="E29" s="1"/>
      <c r="F29" s="1"/>
      <c r="G29" s="1"/>
      <c r="H29" s="1"/>
      <c r="I29" s="1"/>
      <c r="J29" t="s">
        <v>60</v>
      </c>
    </row>
    <row r="30" spans="1:10" s="10" customFormat="1" x14ac:dyDescent="0.2">
      <c r="A30" s="7" t="s">
        <v>172</v>
      </c>
      <c r="B30" s="7" t="s">
        <v>174</v>
      </c>
      <c r="C30" s="8">
        <v>85</v>
      </c>
      <c r="D30" s="9" t="s">
        <v>227</v>
      </c>
      <c r="E30" s="7"/>
      <c r="F30" s="7"/>
      <c r="G30" s="7"/>
      <c r="H30" s="7"/>
      <c r="I30" s="7"/>
      <c r="J30" s="10" t="s">
        <v>173</v>
      </c>
    </row>
    <row r="31" spans="1:10" x14ac:dyDescent="0.2">
      <c r="A31" s="1" t="s">
        <v>167</v>
      </c>
      <c r="B31" s="11" t="s">
        <v>237</v>
      </c>
      <c r="C31" s="3">
        <v>110</v>
      </c>
      <c r="D31" s="4"/>
      <c r="E31" s="1"/>
      <c r="F31" s="1"/>
      <c r="G31" s="1"/>
      <c r="H31" s="1"/>
      <c r="I31" s="6"/>
      <c r="J31" s="5" t="s">
        <v>168</v>
      </c>
    </row>
    <row r="32" spans="1:10" s="10" customFormat="1" x14ac:dyDescent="0.2">
      <c r="A32" s="7" t="s">
        <v>116</v>
      </c>
      <c r="B32" s="12" t="s">
        <v>238</v>
      </c>
      <c r="C32" s="8">
        <v>847</v>
      </c>
      <c r="D32" s="9"/>
      <c r="E32" s="7"/>
      <c r="F32" s="7"/>
      <c r="G32" s="7"/>
      <c r="H32" s="7"/>
      <c r="I32" s="7"/>
      <c r="J32" s="10" t="s">
        <v>117</v>
      </c>
    </row>
    <row r="33" spans="1:10" s="10" customFormat="1" x14ac:dyDescent="0.2">
      <c r="A33" s="7" t="s">
        <v>141</v>
      </c>
      <c r="B33" s="12" t="s">
        <v>239</v>
      </c>
      <c r="C33" s="8">
        <v>208</v>
      </c>
      <c r="D33" s="9"/>
      <c r="E33" s="7"/>
      <c r="F33" s="7"/>
      <c r="G33" s="7"/>
      <c r="H33" s="7"/>
      <c r="I33" s="7"/>
      <c r="J33" s="10" t="s">
        <v>142</v>
      </c>
    </row>
    <row r="34" spans="1:10" x14ac:dyDescent="0.2">
      <c r="A34" s="1" t="s">
        <v>86</v>
      </c>
      <c r="B34" s="1" t="s">
        <v>240</v>
      </c>
      <c r="C34" s="3">
        <v>59</v>
      </c>
      <c r="D34" s="4"/>
      <c r="E34" s="1"/>
      <c r="F34" s="1"/>
      <c r="G34" s="1"/>
      <c r="H34" s="1"/>
      <c r="I34" s="1"/>
      <c r="J34" t="s">
        <v>87</v>
      </c>
    </row>
    <row r="35" spans="1:10" s="10" customFormat="1" x14ac:dyDescent="0.2">
      <c r="A35" s="7" t="s">
        <v>88</v>
      </c>
      <c r="B35" s="12" t="s">
        <v>241</v>
      </c>
      <c r="C35" s="8">
        <v>29</v>
      </c>
      <c r="D35" s="9"/>
      <c r="E35" s="7"/>
      <c r="F35" s="7"/>
      <c r="G35" s="7"/>
      <c r="H35" s="7"/>
      <c r="I35" s="7"/>
      <c r="J35" s="10" t="s">
        <v>89</v>
      </c>
    </row>
    <row r="36" spans="1:10" x14ac:dyDescent="0.2">
      <c r="A36" s="1" t="s">
        <v>90</v>
      </c>
      <c r="B36" s="1" t="s">
        <v>242</v>
      </c>
      <c r="C36" s="3">
        <v>1967</v>
      </c>
      <c r="D36" s="4"/>
      <c r="E36" s="1"/>
      <c r="F36" s="1"/>
      <c r="G36" s="1"/>
      <c r="H36" s="1"/>
      <c r="I36" s="1"/>
      <c r="J36" t="s">
        <v>91</v>
      </c>
    </row>
    <row r="37" spans="1:10" x14ac:dyDescent="0.2">
      <c r="A37" s="1" t="s">
        <v>103</v>
      </c>
      <c r="B37" s="1" t="s">
        <v>104</v>
      </c>
      <c r="C37" s="3">
        <v>571</v>
      </c>
      <c r="D37" s="4"/>
      <c r="E37" s="1"/>
      <c r="F37" s="1"/>
      <c r="G37" s="1"/>
      <c r="H37" s="1"/>
      <c r="I37" s="1"/>
    </row>
    <row r="38" spans="1:10" s="10" customFormat="1" x14ac:dyDescent="0.2">
      <c r="A38" s="7" t="s">
        <v>63</v>
      </c>
      <c r="B38" s="7" t="s">
        <v>64</v>
      </c>
      <c r="C38" s="8">
        <v>20</v>
      </c>
      <c r="D38" s="9" t="s">
        <v>243</v>
      </c>
      <c r="E38" s="7"/>
      <c r="F38" s="7"/>
      <c r="G38" s="7"/>
      <c r="H38" s="7"/>
      <c r="I38" s="7"/>
    </row>
    <row r="39" spans="1:10" x14ac:dyDescent="0.2">
      <c r="A39" s="1" t="s">
        <v>69</v>
      </c>
      <c r="B39" s="1" t="s">
        <v>70</v>
      </c>
      <c r="C39" s="3">
        <v>450</v>
      </c>
      <c r="D39" s="4"/>
      <c r="E39" s="1"/>
      <c r="F39" s="1"/>
      <c r="G39" s="1"/>
      <c r="H39" s="1"/>
      <c r="I39" s="1"/>
    </row>
    <row r="40" spans="1:10" x14ac:dyDescent="0.2">
      <c r="A40" s="1" t="s">
        <v>170</v>
      </c>
      <c r="B40" s="1" t="s">
        <v>244</v>
      </c>
      <c r="C40" s="3">
        <v>4</v>
      </c>
      <c r="D40" s="4"/>
      <c r="E40" s="1"/>
      <c r="F40" s="1"/>
      <c r="G40" s="1"/>
      <c r="H40" s="1"/>
      <c r="I40" s="1"/>
      <c r="J40" t="s">
        <v>214</v>
      </c>
    </row>
    <row r="41" spans="1:10" s="10" customFormat="1" x14ac:dyDescent="0.2">
      <c r="A41" s="7" t="s">
        <v>158</v>
      </c>
      <c r="B41" s="7" t="s">
        <v>159</v>
      </c>
      <c r="C41" s="8">
        <v>3507</v>
      </c>
      <c r="D41" s="9"/>
      <c r="E41" s="7"/>
      <c r="F41" s="7"/>
      <c r="G41" s="7"/>
      <c r="H41" s="7"/>
      <c r="I41"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7E23D-F9CD-43BD-B515-41AAE379843B}">
  <dimension ref="A1:V119"/>
  <sheetViews>
    <sheetView workbookViewId="0">
      <selection activeCell="P31" sqref="P31"/>
    </sheetView>
  </sheetViews>
  <sheetFormatPr baseColWidth="10" defaultColWidth="8.83203125" defaultRowHeight="15" x14ac:dyDescent="0.2"/>
  <cols>
    <col min="1" max="1" width="11.83203125" style="14" bestFit="1" customWidth="1"/>
    <col min="2" max="2" width="35.33203125" style="14" customWidth="1"/>
    <col min="3" max="3" width="41.33203125" style="14" customWidth="1"/>
    <col min="4" max="4" width="25" style="14" bestFit="1" customWidth="1"/>
    <col min="5" max="5" width="29.6640625" style="14" customWidth="1"/>
    <col min="6" max="6" width="36.33203125" style="14" customWidth="1"/>
    <col min="7" max="7" width="21" style="14" customWidth="1"/>
    <col min="8" max="9" width="19.5" style="14" customWidth="1"/>
    <col min="10" max="10" width="15.5" style="14" customWidth="1"/>
    <col min="11" max="11" width="41.5" style="15" customWidth="1"/>
  </cols>
  <sheetData>
    <row r="1" spans="1:11" s="62" customFormat="1" ht="16" x14ac:dyDescent="0.2">
      <c r="A1" s="57" t="s">
        <v>215</v>
      </c>
      <c r="B1" s="57" t="s">
        <v>245</v>
      </c>
      <c r="C1" s="57" t="s">
        <v>1</v>
      </c>
      <c r="D1" s="57" t="s">
        <v>246</v>
      </c>
      <c r="E1" s="57" t="s">
        <v>247</v>
      </c>
      <c r="F1" s="57" t="s">
        <v>248</v>
      </c>
      <c r="G1" s="57" t="s">
        <v>249</v>
      </c>
      <c r="H1" s="57" t="s">
        <v>250</v>
      </c>
      <c r="I1" s="57" t="s">
        <v>251</v>
      </c>
      <c r="J1" s="57" t="s">
        <v>252</v>
      </c>
      <c r="K1" s="61" t="s">
        <v>253</v>
      </c>
    </row>
    <row r="2" spans="1:11" ht="15.75" customHeight="1" x14ac:dyDescent="0.2">
      <c r="A2" s="14" t="s">
        <v>39</v>
      </c>
      <c r="B2" s="14" t="s">
        <v>254</v>
      </c>
      <c r="C2" s="14" t="s">
        <v>40</v>
      </c>
      <c r="D2" s="14" t="s">
        <v>255</v>
      </c>
      <c r="E2" s="14" t="s">
        <v>256</v>
      </c>
      <c r="F2" s="16" t="s">
        <v>257</v>
      </c>
      <c r="G2" s="14" t="s">
        <v>258</v>
      </c>
      <c r="H2" s="14" t="s">
        <v>259</v>
      </c>
      <c r="I2" s="16" t="s">
        <v>260</v>
      </c>
      <c r="J2" s="14" t="s">
        <v>261</v>
      </c>
      <c r="K2" s="15" t="s">
        <v>262</v>
      </c>
    </row>
    <row r="3" spans="1:11" s="60" customFormat="1" x14ac:dyDescent="0.2">
      <c r="A3" s="58" t="s">
        <v>145</v>
      </c>
      <c r="B3" s="58"/>
      <c r="C3" s="58" t="s">
        <v>146</v>
      </c>
      <c r="D3" s="58"/>
      <c r="E3" s="58"/>
      <c r="F3" s="58"/>
      <c r="G3" s="58"/>
      <c r="H3" s="58"/>
      <c r="I3" s="58"/>
      <c r="J3" s="58"/>
      <c r="K3" s="59"/>
    </row>
    <row r="4" spans="1:11" ht="16.5" customHeight="1" x14ac:dyDescent="0.2">
      <c r="A4" s="14" t="s">
        <v>147</v>
      </c>
      <c r="B4" s="14" t="s">
        <v>148</v>
      </c>
      <c r="C4" s="14" t="s">
        <v>148</v>
      </c>
      <c r="D4" s="14" t="s">
        <v>263</v>
      </c>
      <c r="E4" s="14" t="s">
        <v>264</v>
      </c>
      <c r="F4" s="16" t="s">
        <v>265</v>
      </c>
      <c r="G4" s="14" t="s">
        <v>266</v>
      </c>
      <c r="H4" s="14" t="s">
        <v>259</v>
      </c>
      <c r="I4" s="16" t="s">
        <v>267</v>
      </c>
      <c r="J4" s="14" t="s">
        <v>268</v>
      </c>
      <c r="K4" s="15" t="s">
        <v>269</v>
      </c>
    </row>
    <row r="5" spans="1:11" s="60" customFormat="1" x14ac:dyDescent="0.2">
      <c r="A5" s="58" t="s">
        <v>152</v>
      </c>
      <c r="B5" s="58"/>
      <c r="C5" s="58" t="s">
        <v>153</v>
      </c>
      <c r="D5" s="58"/>
      <c r="E5" s="58"/>
      <c r="F5" s="58"/>
      <c r="G5" s="58"/>
      <c r="H5" s="58"/>
      <c r="I5" s="58"/>
      <c r="J5" s="58"/>
      <c r="K5" s="59"/>
    </row>
    <row r="6" spans="1:11" s="60" customFormat="1" x14ac:dyDescent="0.2">
      <c r="A6" s="58" t="s">
        <v>120</v>
      </c>
      <c r="B6" s="58"/>
      <c r="C6" s="58" t="s">
        <v>122</v>
      </c>
      <c r="D6" s="58"/>
      <c r="E6" s="58"/>
      <c r="F6" s="58"/>
      <c r="G6" s="58"/>
      <c r="H6" s="58"/>
      <c r="I6" s="58"/>
      <c r="J6" s="58"/>
      <c r="K6" s="59"/>
    </row>
    <row r="7" spans="1:11" ht="15.75" customHeight="1" x14ac:dyDescent="0.2">
      <c r="A7" s="14" t="s">
        <v>45</v>
      </c>
      <c r="B7" s="14" t="s">
        <v>46</v>
      </c>
      <c r="C7" s="14" t="s">
        <v>46</v>
      </c>
      <c r="D7" s="27" t="s">
        <v>270</v>
      </c>
      <c r="E7" s="17" t="s">
        <v>271</v>
      </c>
      <c r="F7" s="16" t="s">
        <v>272</v>
      </c>
      <c r="G7" s="27" t="s">
        <v>273</v>
      </c>
      <c r="H7" s="14" t="s">
        <v>259</v>
      </c>
      <c r="I7" s="16" t="s">
        <v>274</v>
      </c>
      <c r="J7" s="14" t="s">
        <v>275</v>
      </c>
      <c r="K7" s="15" t="s">
        <v>276</v>
      </c>
    </row>
    <row r="8" spans="1:11" ht="16" x14ac:dyDescent="0.2">
      <c r="A8" s="18" t="s">
        <v>107</v>
      </c>
      <c r="B8" s="18" t="s">
        <v>108</v>
      </c>
      <c r="C8" s="18" t="s">
        <v>108</v>
      </c>
      <c r="D8" s="28" t="s">
        <v>277</v>
      </c>
      <c r="E8" s="19" t="s">
        <v>278</v>
      </c>
      <c r="F8" s="20" t="s">
        <v>279</v>
      </c>
      <c r="G8" s="28" t="s">
        <v>280</v>
      </c>
      <c r="H8" s="18" t="s">
        <v>259</v>
      </c>
      <c r="I8" s="20" t="s">
        <v>281</v>
      </c>
      <c r="J8" s="18" t="s">
        <v>282</v>
      </c>
      <c r="K8" s="18" t="s">
        <v>283</v>
      </c>
    </row>
    <row r="9" spans="1:11" ht="16" x14ac:dyDescent="0.2">
      <c r="A9" s="18" t="s">
        <v>107</v>
      </c>
      <c r="B9" s="18"/>
      <c r="C9" s="18"/>
      <c r="D9" s="28" t="s">
        <v>110</v>
      </c>
      <c r="E9" s="19" t="s">
        <v>284</v>
      </c>
      <c r="F9" s="20" t="s">
        <v>111</v>
      </c>
      <c r="G9" s="28" t="s">
        <v>285</v>
      </c>
      <c r="H9" s="18" t="s">
        <v>259</v>
      </c>
      <c r="I9" s="20" t="s">
        <v>286</v>
      </c>
      <c r="J9" s="18" t="s">
        <v>287</v>
      </c>
      <c r="K9" s="21"/>
    </row>
    <row r="10" spans="1:11" ht="16" x14ac:dyDescent="0.2">
      <c r="A10" s="18" t="s">
        <v>107</v>
      </c>
      <c r="B10" s="18"/>
      <c r="C10" s="18"/>
      <c r="D10" s="28"/>
      <c r="E10" s="19"/>
      <c r="F10" s="20"/>
      <c r="G10" s="28" t="s">
        <v>288</v>
      </c>
      <c r="H10" s="18" t="s">
        <v>259</v>
      </c>
      <c r="I10" s="20" t="s">
        <v>289</v>
      </c>
      <c r="J10" s="18" t="s">
        <v>290</v>
      </c>
      <c r="K10" s="21"/>
    </row>
    <row r="11" spans="1:11" ht="18" customHeight="1" x14ac:dyDescent="0.2">
      <c r="A11" s="14" t="s">
        <v>28</v>
      </c>
      <c r="B11" s="14" t="s">
        <v>29</v>
      </c>
      <c r="C11" s="14" t="s">
        <v>29</v>
      </c>
      <c r="D11" s="27" t="s">
        <v>291</v>
      </c>
      <c r="E11" s="17" t="s">
        <v>292</v>
      </c>
      <c r="F11" s="16" t="s">
        <v>293</v>
      </c>
      <c r="G11" s="27" t="s">
        <v>31</v>
      </c>
      <c r="H11" s="17" t="s">
        <v>294</v>
      </c>
      <c r="I11" s="16" t="s">
        <v>32</v>
      </c>
      <c r="J11" s="14" t="s">
        <v>295</v>
      </c>
      <c r="K11" s="15" t="s">
        <v>296</v>
      </c>
    </row>
    <row r="12" spans="1:11" s="60" customFormat="1" x14ac:dyDescent="0.2">
      <c r="A12" s="58" t="s">
        <v>154</v>
      </c>
      <c r="B12" s="58"/>
      <c r="C12" s="58" t="s">
        <v>155</v>
      </c>
      <c r="D12" s="58"/>
      <c r="E12" s="58"/>
      <c r="F12" s="58"/>
      <c r="G12" s="58"/>
      <c r="H12" s="58"/>
      <c r="I12" s="58"/>
      <c r="J12" s="58"/>
      <c r="K12" s="59"/>
    </row>
    <row r="13" spans="1:11" s="60" customFormat="1" x14ac:dyDescent="0.2">
      <c r="A13" s="58" t="s">
        <v>156</v>
      </c>
      <c r="B13" s="58"/>
      <c r="C13" s="58" t="s">
        <v>157</v>
      </c>
      <c r="D13" s="58"/>
      <c r="E13" s="58"/>
      <c r="F13" s="58"/>
      <c r="G13" s="58"/>
      <c r="H13" s="58"/>
      <c r="I13" s="58"/>
      <c r="J13" s="58"/>
      <c r="K13" s="59"/>
    </row>
    <row r="14" spans="1:11" x14ac:dyDescent="0.2">
      <c r="A14" s="22" t="s">
        <v>95</v>
      </c>
      <c r="B14" s="22" t="s">
        <v>297</v>
      </c>
      <c r="C14" s="22" t="s">
        <v>96</v>
      </c>
      <c r="D14" s="22" t="s">
        <v>298</v>
      </c>
      <c r="E14" s="22" t="s">
        <v>299</v>
      </c>
      <c r="F14" s="29" t="s">
        <v>300</v>
      </c>
      <c r="G14" s="22" t="s">
        <v>301</v>
      </c>
      <c r="H14" s="22" t="s">
        <v>259</v>
      </c>
      <c r="I14" s="29" t="s">
        <v>302</v>
      </c>
      <c r="J14" s="22" t="s">
        <v>303</v>
      </c>
      <c r="K14" s="23"/>
    </row>
    <row r="15" spans="1:11" x14ac:dyDescent="0.2">
      <c r="A15" s="22"/>
      <c r="B15" s="22"/>
      <c r="C15" s="22"/>
      <c r="D15" s="22" t="s">
        <v>304</v>
      </c>
      <c r="E15" s="22" t="s">
        <v>305</v>
      </c>
      <c r="F15" s="29" t="s">
        <v>306</v>
      </c>
      <c r="G15" s="22"/>
      <c r="H15" s="22"/>
      <c r="I15" s="22"/>
      <c r="J15" s="22"/>
      <c r="K15" s="23"/>
    </row>
    <row r="16" spans="1:11" x14ac:dyDescent="0.2">
      <c r="A16" s="24" t="s">
        <v>74</v>
      </c>
      <c r="B16" s="24" t="s">
        <v>307</v>
      </c>
      <c r="C16" s="24" t="s">
        <v>75</v>
      </c>
      <c r="D16" s="24" t="s">
        <v>308</v>
      </c>
      <c r="E16" s="24" t="s">
        <v>309</v>
      </c>
      <c r="F16" s="25" t="s">
        <v>310</v>
      </c>
      <c r="G16" s="24" t="s">
        <v>311</v>
      </c>
      <c r="H16" s="24" t="s">
        <v>259</v>
      </c>
      <c r="I16" s="25" t="s">
        <v>312</v>
      </c>
      <c r="J16" s="24" t="s">
        <v>78</v>
      </c>
      <c r="K16" s="24" t="s">
        <v>313</v>
      </c>
    </row>
    <row r="17" spans="1:11" x14ac:dyDescent="0.2">
      <c r="A17" s="24"/>
      <c r="B17" s="24"/>
      <c r="C17" s="24"/>
      <c r="D17" s="24" t="s">
        <v>314</v>
      </c>
      <c r="E17" s="24" t="s">
        <v>315</v>
      </c>
      <c r="F17" s="25" t="s">
        <v>316</v>
      </c>
      <c r="G17" s="24"/>
      <c r="H17" s="24"/>
      <c r="I17" s="24"/>
      <c r="J17" s="24"/>
      <c r="K17" s="26"/>
    </row>
    <row r="18" spans="1:11" x14ac:dyDescent="0.2">
      <c r="A18" s="24"/>
      <c r="B18" s="24"/>
      <c r="C18" s="24"/>
      <c r="D18" s="24" t="s">
        <v>76</v>
      </c>
      <c r="E18" s="24" t="s">
        <v>317</v>
      </c>
      <c r="F18" s="25" t="s">
        <v>77</v>
      </c>
      <c r="G18" s="24"/>
      <c r="H18" s="24"/>
      <c r="I18" s="24"/>
      <c r="J18" s="24"/>
      <c r="K18" s="26"/>
    </row>
    <row r="19" spans="1:11" s="60" customFormat="1" x14ac:dyDescent="0.2">
      <c r="A19" s="58" t="s">
        <v>162</v>
      </c>
      <c r="B19" s="58"/>
      <c r="C19" s="58" t="s">
        <v>163</v>
      </c>
      <c r="D19" s="58"/>
      <c r="E19" s="58"/>
      <c r="F19" s="58"/>
      <c r="G19" s="58"/>
      <c r="H19" s="58"/>
      <c r="I19" s="58"/>
      <c r="J19" s="58"/>
      <c r="K19" s="59"/>
    </row>
    <row r="20" spans="1:11" x14ac:dyDescent="0.2">
      <c r="A20" s="14" t="s">
        <v>123</v>
      </c>
      <c r="B20" s="14" t="s">
        <v>124</v>
      </c>
      <c r="C20" s="14" t="s">
        <v>124</v>
      </c>
      <c r="D20" s="14" t="s">
        <v>318</v>
      </c>
      <c r="E20" s="14" t="s">
        <v>319</v>
      </c>
      <c r="F20" s="13" t="s">
        <v>320</v>
      </c>
      <c r="G20" s="14" t="s">
        <v>321</v>
      </c>
      <c r="H20" s="14" t="s">
        <v>259</v>
      </c>
      <c r="I20" s="13" t="s">
        <v>322</v>
      </c>
      <c r="J20" s="14" t="s">
        <v>323</v>
      </c>
      <c r="K20" s="14" t="s">
        <v>324</v>
      </c>
    </row>
    <row r="21" spans="1:11" x14ac:dyDescent="0.2">
      <c r="A21" s="14" t="s">
        <v>133</v>
      </c>
      <c r="B21" s="14" t="s">
        <v>134</v>
      </c>
      <c r="C21" s="14" t="s">
        <v>134</v>
      </c>
      <c r="D21" s="14" t="s">
        <v>325</v>
      </c>
      <c r="E21" s="14" t="s">
        <v>326</v>
      </c>
      <c r="F21" s="13" t="s">
        <v>327</v>
      </c>
      <c r="G21" s="14" t="s">
        <v>135</v>
      </c>
      <c r="H21" s="14" t="s">
        <v>259</v>
      </c>
      <c r="I21" s="13" t="s">
        <v>136</v>
      </c>
      <c r="J21" s="14" t="s">
        <v>328</v>
      </c>
      <c r="K21" s="14" t="s">
        <v>329</v>
      </c>
    </row>
    <row r="22" spans="1:11" s="60" customFormat="1" x14ac:dyDescent="0.2">
      <c r="A22" s="58" t="s">
        <v>178</v>
      </c>
      <c r="B22" s="58"/>
      <c r="C22" s="58" t="s">
        <v>179</v>
      </c>
      <c r="D22" s="58"/>
      <c r="E22" s="58"/>
      <c r="F22" s="58"/>
      <c r="G22" s="58"/>
      <c r="H22" s="58"/>
      <c r="I22" s="58"/>
      <c r="J22" s="58"/>
      <c r="K22" s="59"/>
    </row>
    <row r="23" spans="1:11" x14ac:dyDescent="0.2">
      <c r="A23" s="30" t="s">
        <v>79</v>
      </c>
      <c r="B23" s="30" t="s">
        <v>80</v>
      </c>
      <c r="C23" s="30" t="s">
        <v>80</v>
      </c>
      <c r="D23" s="30" t="s">
        <v>330</v>
      </c>
      <c r="E23" s="30" t="s">
        <v>331</v>
      </c>
      <c r="F23" s="31" t="s">
        <v>332</v>
      </c>
      <c r="G23" s="30" t="s">
        <v>333</v>
      </c>
      <c r="H23" s="30" t="s">
        <v>334</v>
      </c>
      <c r="I23" s="31" t="s">
        <v>335</v>
      </c>
      <c r="J23" s="30" t="s">
        <v>336</v>
      </c>
      <c r="K23" s="30" t="s">
        <v>337</v>
      </c>
    </row>
    <row r="24" spans="1:11" x14ac:dyDescent="0.2">
      <c r="A24" s="30"/>
      <c r="B24" s="30"/>
      <c r="C24" s="30"/>
      <c r="D24" s="30" t="s">
        <v>338</v>
      </c>
      <c r="E24" s="30" t="s">
        <v>339</v>
      </c>
      <c r="F24" s="31" t="s">
        <v>340</v>
      </c>
      <c r="G24" s="30" t="s">
        <v>341</v>
      </c>
      <c r="H24" s="30" t="s">
        <v>342</v>
      </c>
      <c r="I24" s="31" t="s">
        <v>343</v>
      </c>
      <c r="J24" s="30" t="s">
        <v>344</v>
      </c>
      <c r="K24" s="32"/>
    </row>
    <row r="25" spans="1:11" x14ac:dyDescent="0.2">
      <c r="A25" s="14" t="s">
        <v>34</v>
      </c>
      <c r="B25" s="14" t="s">
        <v>35</v>
      </c>
      <c r="C25" s="14" t="s">
        <v>35</v>
      </c>
      <c r="D25" s="14" t="s">
        <v>345</v>
      </c>
      <c r="E25" s="14" t="s">
        <v>346</v>
      </c>
      <c r="F25" s="13" t="s">
        <v>347</v>
      </c>
      <c r="G25" s="14" t="s">
        <v>348</v>
      </c>
      <c r="H25" s="14" t="s">
        <v>294</v>
      </c>
      <c r="I25" s="13" t="s">
        <v>349</v>
      </c>
      <c r="J25" s="14" t="s">
        <v>350</v>
      </c>
      <c r="K25" s="14" t="s">
        <v>351</v>
      </c>
    </row>
    <row r="26" spans="1:11" x14ac:dyDescent="0.2">
      <c r="A26" s="14" t="s">
        <v>137</v>
      </c>
      <c r="B26" s="14" t="s">
        <v>138</v>
      </c>
      <c r="C26" s="14" t="s">
        <v>138</v>
      </c>
      <c r="D26" s="14" t="s">
        <v>352</v>
      </c>
      <c r="E26" s="14" t="s">
        <v>353</v>
      </c>
      <c r="F26" s="13" t="s">
        <v>354</v>
      </c>
      <c r="G26" s="14" t="s">
        <v>355</v>
      </c>
      <c r="H26" s="14" t="s">
        <v>259</v>
      </c>
      <c r="I26" s="13" t="s">
        <v>356</v>
      </c>
      <c r="J26" s="14" t="s">
        <v>357</v>
      </c>
      <c r="K26" s="14" t="s">
        <v>358</v>
      </c>
    </row>
    <row r="27" spans="1:11" x14ac:dyDescent="0.2">
      <c r="A27" s="33" t="s">
        <v>21</v>
      </c>
      <c r="B27" s="33" t="s">
        <v>359</v>
      </c>
      <c r="C27" s="33" t="s">
        <v>359</v>
      </c>
      <c r="D27" s="33" t="s">
        <v>360</v>
      </c>
      <c r="E27" s="33" t="s">
        <v>361</v>
      </c>
      <c r="F27" s="34" t="s">
        <v>362</v>
      </c>
      <c r="G27" s="33"/>
      <c r="H27" s="33"/>
      <c r="I27" s="33"/>
      <c r="J27" s="33" t="s">
        <v>363</v>
      </c>
      <c r="K27" s="33" t="s">
        <v>364</v>
      </c>
    </row>
    <row r="28" spans="1:11" ht="16" x14ac:dyDescent="0.2">
      <c r="A28" s="33"/>
      <c r="B28" s="33"/>
      <c r="C28" s="66"/>
      <c r="D28" s="63" t="s">
        <v>365</v>
      </c>
      <c r="E28" s="64" t="s">
        <v>315</v>
      </c>
      <c r="F28" s="65" t="s">
        <v>366</v>
      </c>
      <c r="G28" s="33"/>
      <c r="H28" s="33"/>
      <c r="I28" s="33"/>
      <c r="J28" s="33" t="s">
        <v>367</v>
      </c>
      <c r="K28" s="35"/>
    </row>
    <row r="29" spans="1:11" x14ac:dyDescent="0.2">
      <c r="A29" s="33"/>
      <c r="B29" s="33"/>
      <c r="C29" s="66"/>
      <c r="D29" s="36" t="s">
        <v>368</v>
      </c>
      <c r="E29" s="36" t="s">
        <v>369</v>
      </c>
      <c r="F29" s="40" t="s">
        <v>370</v>
      </c>
      <c r="G29" s="33"/>
      <c r="H29" s="33"/>
      <c r="I29" s="33"/>
      <c r="J29" s="33" t="s">
        <v>371</v>
      </c>
      <c r="K29" s="35"/>
    </row>
    <row r="30" spans="1:11" x14ac:dyDescent="0.2">
      <c r="A30" s="33"/>
      <c r="B30" s="33"/>
      <c r="C30" s="66"/>
      <c r="D30" s="37" t="s">
        <v>372</v>
      </c>
      <c r="E30" s="33" t="s">
        <v>181</v>
      </c>
      <c r="F30" s="34" t="s">
        <v>373</v>
      </c>
      <c r="G30" s="33"/>
      <c r="H30" s="33"/>
      <c r="I30" s="33"/>
      <c r="J30" s="33" t="s">
        <v>374</v>
      </c>
      <c r="K30" s="35"/>
    </row>
    <row r="31" spans="1:11" x14ac:dyDescent="0.2">
      <c r="A31" s="33"/>
      <c r="B31" s="33"/>
      <c r="C31" s="66"/>
      <c r="D31" s="37" t="s">
        <v>375</v>
      </c>
      <c r="E31" s="33" t="s">
        <v>181</v>
      </c>
      <c r="F31" s="34" t="s">
        <v>376</v>
      </c>
      <c r="G31" s="33"/>
      <c r="H31" s="33"/>
      <c r="I31" s="33"/>
      <c r="J31" s="33" t="s">
        <v>374</v>
      </c>
      <c r="K31" s="35"/>
    </row>
    <row r="32" spans="1:11" x14ac:dyDescent="0.2">
      <c r="A32" s="33"/>
      <c r="B32" s="33"/>
      <c r="C32" s="66"/>
      <c r="D32" s="37" t="s">
        <v>377</v>
      </c>
      <c r="E32" s="33" t="s">
        <v>181</v>
      </c>
      <c r="F32" s="34" t="s">
        <v>378</v>
      </c>
      <c r="G32" s="33"/>
      <c r="H32" s="33"/>
      <c r="I32" s="33"/>
      <c r="J32" s="33" t="s">
        <v>379</v>
      </c>
      <c r="K32" s="35"/>
    </row>
    <row r="33" spans="1:11" x14ac:dyDescent="0.2">
      <c r="A33" s="33"/>
      <c r="B33" s="33"/>
      <c r="C33" s="66"/>
      <c r="D33" s="37" t="s">
        <v>192</v>
      </c>
      <c r="E33" s="33" t="s">
        <v>181</v>
      </c>
      <c r="F33" s="34" t="s">
        <v>380</v>
      </c>
      <c r="G33" s="33"/>
      <c r="H33" s="33"/>
      <c r="I33" s="33"/>
      <c r="J33" s="33" t="s">
        <v>374</v>
      </c>
      <c r="K33" s="35"/>
    </row>
    <row r="34" spans="1:11" x14ac:dyDescent="0.2">
      <c r="A34" s="33"/>
      <c r="B34" s="33"/>
      <c r="C34" s="66" t="s">
        <v>381</v>
      </c>
      <c r="D34" s="37" t="s">
        <v>382</v>
      </c>
      <c r="E34" s="33" t="s">
        <v>181</v>
      </c>
      <c r="F34" s="34" t="s">
        <v>383</v>
      </c>
      <c r="G34" s="33"/>
      <c r="H34" s="33"/>
      <c r="I34" s="33"/>
      <c r="J34" s="33" t="s">
        <v>374</v>
      </c>
      <c r="K34" s="35"/>
    </row>
    <row r="35" spans="1:11" x14ac:dyDescent="0.2">
      <c r="A35" s="33"/>
      <c r="B35" s="33"/>
      <c r="C35" s="66"/>
      <c r="D35" s="37" t="s">
        <v>384</v>
      </c>
      <c r="E35" s="33" t="s">
        <v>181</v>
      </c>
      <c r="F35" s="34" t="s">
        <v>385</v>
      </c>
      <c r="G35" s="33"/>
      <c r="H35" s="33"/>
      <c r="I35" s="33"/>
      <c r="J35" s="33" t="s">
        <v>374</v>
      </c>
      <c r="K35" s="35"/>
    </row>
    <row r="36" spans="1:11" x14ac:dyDescent="0.2">
      <c r="A36" s="33"/>
      <c r="B36" s="33"/>
      <c r="C36" s="66"/>
      <c r="D36" s="37" t="s">
        <v>386</v>
      </c>
      <c r="E36" s="33" t="s">
        <v>181</v>
      </c>
      <c r="F36" s="34" t="s">
        <v>387</v>
      </c>
      <c r="G36" s="33"/>
      <c r="H36" s="33"/>
      <c r="I36" s="33"/>
      <c r="J36" s="33" t="s">
        <v>374</v>
      </c>
      <c r="K36" s="35"/>
    </row>
    <row r="37" spans="1:11" x14ac:dyDescent="0.2">
      <c r="A37" s="33"/>
      <c r="B37" s="33"/>
      <c r="C37" s="66"/>
      <c r="D37" s="37" t="s">
        <v>388</v>
      </c>
      <c r="E37" s="33" t="s">
        <v>181</v>
      </c>
      <c r="F37" s="34" t="s">
        <v>389</v>
      </c>
      <c r="G37" s="33"/>
      <c r="H37" s="33"/>
      <c r="I37" s="33"/>
      <c r="J37" s="33" t="s">
        <v>374</v>
      </c>
      <c r="K37" s="35"/>
    </row>
    <row r="38" spans="1:11" x14ac:dyDescent="0.2">
      <c r="A38" s="33"/>
      <c r="B38" s="33"/>
      <c r="C38" s="66"/>
      <c r="D38" s="37" t="s">
        <v>390</v>
      </c>
      <c r="E38" s="33" t="s">
        <v>181</v>
      </c>
      <c r="F38" s="34" t="s">
        <v>391</v>
      </c>
      <c r="G38" s="33"/>
      <c r="H38" s="33"/>
      <c r="I38" s="33"/>
      <c r="J38" s="33" t="s">
        <v>374</v>
      </c>
      <c r="K38" s="35"/>
    </row>
    <row r="39" spans="1:11" x14ac:dyDescent="0.2">
      <c r="A39" s="33"/>
      <c r="B39" s="33"/>
      <c r="C39" s="66"/>
      <c r="D39" s="38" t="s">
        <v>392</v>
      </c>
      <c r="E39" s="38" t="s">
        <v>393</v>
      </c>
      <c r="F39" s="41" t="s">
        <v>394</v>
      </c>
      <c r="G39" s="33"/>
      <c r="H39" s="33"/>
      <c r="I39" s="33"/>
      <c r="J39" s="33" t="s">
        <v>395</v>
      </c>
      <c r="K39" s="35"/>
    </row>
    <row r="40" spans="1:11" x14ac:dyDescent="0.2">
      <c r="A40" s="33"/>
      <c r="B40" s="33"/>
      <c r="C40" s="66"/>
      <c r="D40" s="39" t="s">
        <v>396</v>
      </c>
      <c r="E40" s="33" t="s">
        <v>181</v>
      </c>
      <c r="F40" s="34" t="s">
        <v>397</v>
      </c>
      <c r="G40" s="33"/>
      <c r="H40" s="33"/>
      <c r="I40" s="33"/>
      <c r="J40" s="33" t="s">
        <v>398</v>
      </c>
      <c r="K40" s="35"/>
    </row>
    <row r="41" spans="1:11" x14ac:dyDescent="0.2">
      <c r="A41" s="33"/>
      <c r="B41" s="33"/>
      <c r="C41" s="66"/>
      <c r="D41" s="39" t="s">
        <v>199</v>
      </c>
      <c r="E41" s="33" t="s">
        <v>181</v>
      </c>
      <c r="F41" s="34" t="s">
        <v>399</v>
      </c>
      <c r="G41" s="33"/>
      <c r="H41" s="33"/>
      <c r="I41" s="33"/>
      <c r="J41" s="33" t="s">
        <v>374</v>
      </c>
      <c r="K41" s="35"/>
    </row>
    <row r="42" spans="1:11" x14ac:dyDescent="0.2">
      <c r="A42" s="33"/>
      <c r="B42" s="33"/>
      <c r="C42" s="66"/>
      <c r="D42" s="39" t="s">
        <v>197</v>
      </c>
      <c r="E42" s="33" t="s">
        <v>181</v>
      </c>
      <c r="F42" s="34" t="s">
        <v>400</v>
      </c>
      <c r="G42" s="33"/>
      <c r="H42" s="33"/>
      <c r="I42" s="33"/>
      <c r="J42" s="33" t="s">
        <v>374</v>
      </c>
      <c r="K42" s="35"/>
    </row>
    <row r="43" spans="1:11" x14ac:dyDescent="0.2">
      <c r="A43" s="33"/>
      <c r="B43" s="33"/>
      <c r="C43" s="66"/>
      <c r="D43" s="39" t="s">
        <v>188</v>
      </c>
      <c r="E43" s="33" t="s">
        <v>181</v>
      </c>
      <c r="F43" s="34" t="s">
        <v>401</v>
      </c>
      <c r="G43" s="33"/>
      <c r="H43" s="33"/>
      <c r="I43" s="33"/>
      <c r="J43" s="33" t="s">
        <v>374</v>
      </c>
      <c r="K43" s="35"/>
    </row>
    <row r="44" spans="1:11" x14ac:dyDescent="0.2">
      <c r="A44" s="33"/>
      <c r="B44" s="33"/>
      <c r="C44" s="66"/>
      <c r="D44" s="39" t="s">
        <v>184</v>
      </c>
      <c r="E44" s="33" t="s">
        <v>181</v>
      </c>
      <c r="F44" s="34" t="s">
        <v>402</v>
      </c>
      <c r="G44" s="33"/>
      <c r="H44" s="33"/>
      <c r="I44" s="33"/>
      <c r="J44" s="33" t="s">
        <v>374</v>
      </c>
      <c r="K44" s="35"/>
    </row>
    <row r="45" spans="1:11" x14ac:dyDescent="0.2">
      <c r="A45" s="33"/>
      <c r="B45" s="33"/>
      <c r="C45" s="66"/>
      <c r="D45" s="39" t="s">
        <v>212</v>
      </c>
      <c r="E45" s="33" t="s">
        <v>181</v>
      </c>
      <c r="F45" s="34" t="s">
        <v>403</v>
      </c>
      <c r="G45" s="33"/>
      <c r="H45" s="33"/>
      <c r="I45" s="33"/>
      <c r="J45" s="33" t="s">
        <v>374</v>
      </c>
      <c r="K45" s="35"/>
    </row>
    <row r="46" spans="1:11" x14ac:dyDescent="0.2">
      <c r="A46" s="33"/>
      <c r="B46" s="33"/>
      <c r="C46" s="66" t="s">
        <v>404</v>
      </c>
      <c r="D46" s="39" t="s">
        <v>201</v>
      </c>
      <c r="E46" s="33" t="s">
        <v>181</v>
      </c>
      <c r="F46" s="34" t="s">
        <v>405</v>
      </c>
      <c r="G46" s="33"/>
      <c r="H46" s="33"/>
      <c r="I46" s="33"/>
      <c r="J46" s="33" t="s">
        <v>374</v>
      </c>
      <c r="K46" s="35"/>
    </row>
    <row r="47" spans="1:11" x14ac:dyDescent="0.2">
      <c r="A47" s="33"/>
      <c r="B47" s="33"/>
      <c r="C47" s="66"/>
      <c r="D47" s="39" t="s">
        <v>195</v>
      </c>
      <c r="E47" s="33" t="s">
        <v>181</v>
      </c>
      <c r="F47" s="34" t="s">
        <v>406</v>
      </c>
      <c r="G47" s="33"/>
      <c r="H47" s="33"/>
      <c r="I47" s="33"/>
      <c r="J47" s="33" t="s">
        <v>374</v>
      </c>
      <c r="K47" s="35"/>
    </row>
    <row r="48" spans="1:11" x14ac:dyDescent="0.2">
      <c r="A48" s="33"/>
      <c r="B48" s="33"/>
      <c r="C48" s="66" t="s">
        <v>407</v>
      </c>
      <c r="D48" s="39" t="s">
        <v>186</v>
      </c>
      <c r="E48" s="33" t="s">
        <v>181</v>
      </c>
      <c r="F48" s="34" t="s">
        <v>408</v>
      </c>
      <c r="G48" s="33"/>
      <c r="H48" s="33"/>
      <c r="I48" s="33"/>
      <c r="J48" s="33" t="s">
        <v>374</v>
      </c>
      <c r="K48" s="35"/>
    </row>
    <row r="49" spans="1:11" x14ac:dyDescent="0.2">
      <c r="A49" s="33"/>
      <c r="B49" s="33"/>
      <c r="C49" s="66"/>
      <c r="D49" s="39" t="s">
        <v>409</v>
      </c>
      <c r="E49" s="33" t="s">
        <v>181</v>
      </c>
      <c r="F49" s="34" t="s">
        <v>410</v>
      </c>
      <c r="G49" s="33"/>
      <c r="H49" s="33"/>
      <c r="I49" s="33"/>
      <c r="J49" s="33" t="s">
        <v>374</v>
      </c>
      <c r="K49" s="35"/>
    </row>
    <row r="50" spans="1:11" x14ac:dyDescent="0.2">
      <c r="A50" s="33"/>
      <c r="B50" s="33"/>
      <c r="C50" s="66"/>
      <c r="D50" s="39" t="s">
        <v>204</v>
      </c>
      <c r="E50" s="33" t="s">
        <v>181</v>
      </c>
      <c r="F50" s="34" t="s">
        <v>411</v>
      </c>
      <c r="G50" s="33"/>
      <c r="H50" s="33"/>
      <c r="I50" s="33"/>
      <c r="J50" s="33" t="s">
        <v>374</v>
      </c>
      <c r="K50" s="35"/>
    </row>
    <row r="51" spans="1:11" x14ac:dyDescent="0.2">
      <c r="A51" s="33"/>
      <c r="B51" s="33"/>
      <c r="C51" s="66"/>
      <c r="D51" s="42" t="s">
        <v>412</v>
      </c>
      <c r="E51" s="42" t="s">
        <v>413</v>
      </c>
      <c r="F51" s="43" t="s">
        <v>414</v>
      </c>
      <c r="G51" s="33"/>
      <c r="H51" s="33"/>
      <c r="I51" s="33"/>
      <c r="J51" s="33" t="s">
        <v>415</v>
      </c>
      <c r="K51" s="35"/>
    </row>
    <row r="52" spans="1:11" ht="16" x14ac:dyDescent="0.2">
      <c r="A52" s="33"/>
      <c r="B52" s="33"/>
      <c r="C52" s="66"/>
      <c r="D52" s="44" t="s">
        <v>416</v>
      </c>
      <c r="E52" s="45" t="s">
        <v>417</v>
      </c>
      <c r="F52" s="46" t="s">
        <v>418</v>
      </c>
      <c r="G52" s="33"/>
      <c r="H52" s="33"/>
      <c r="I52" s="33"/>
      <c r="J52" s="33" t="s">
        <v>419</v>
      </c>
      <c r="K52" s="35"/>
    </row>
    <row r="53" spans="1:11" x14ac:dyDescent="0.2">
      <c r="A53" s="33"/>
      <c r="B53" s="33"/>
      <c r="C53" s="66"/>
      <c r="D53" s="47" t="s">
        <v>420</v>
      </c>
      <c r="E53" s="33" t="s">
        <v>421</v>
      </c>
      <c r="F53" s="34" t="s">
        <v>422</v>
      </c>
      <c r="G53" s="33"/>
      <c r="H53" s="33"/>
      <c r="I53" s="33"/>
      <c r="J53" s="33" t="s">
        <v>423</v>
      </c>
      <c r="K53" s="35"/>
    </row>
    <row r="54" spans="1:11" x14ac:dyDescent="0.2">
      <c r="A54" s="33"/>
      <c r="B54" s="33"/>
      <c r="C54" s="66"/>
      <c r="D54" s="47" t="s">
        <v>424</v>
      </c>
      <c r="E54" s="33" t="s">
        <v>425</v>
      </c>
      <c r="F54" s="34" t="s">
        <v>426</v>
      </c>
      <c r="G54" s="33"/>
      <c r="H54" s="33"/>
      <c r="I54" s="33"/>
      <c r="J54" s="33" t="s">
        <v>427</v>
      </c>
      <c r="K54" s="35"/>
    </row>
    <row r="55" spans="1:11" x14ac:dyDescent="0.2">
      <c r="A55" s="33"/>
      <c r="B55" s="33"/>
      <c r="C55" s="66"/>
      <c r="D55" s="48" t="s">
        <v>428</v>
      </c>
      <c r="E55" s="48" t="s">
        <v>429</v>
      </c>
      <c r="F55" s="49" t="s">
        <v>430</v>
      </c>
      <c r="G55" s="33"/>
      <c r="H55" s="33"/>
      <c r="I55" s="33"/>
      <c r="J55" s="33" t="s">
        <v>431</v>
      </c>
      <c r="K55" s="35"/>
    </row>
    <row r="56" spans="1:11" x14ac:dyDescent="0.2">
      <c r="A56" s="33"/>
      <c r="B56" s="33"/>
      <c r="C56" s="66"/>
      <c r="D56" s="47" t="s">
        <v>432</v>
      </c>
      <c r="E56" s="33" t="s">
        <v>181</v>
      </c>
      <c r="F56" s="34" t="s">
        <v>433</v>
      </c>
      <c r="G56" s="33"/>
      <c r="H56" s="33"/>
      <c r="I56" s="33"/>
      <c r="J56" s="33" t="s">
        <v>434</v>
      </c>
      <c r="K56" s="35"/>
    </row>
    <row r="57" spans="1:11" x14ac:dyDescent="0.2">
      <c r="A57" s="33"/>
      <c r="B57" s="33"/>
      <c r="C57" s="66"/>
      <c r="D57" s="50" t="s">
        <v>435</v>
      </c>
      <c r="E57" s="51" t="s">
        <v>436</v>
      </c>
      <c r="F57" s="52" t="s">
        <v>437</v>
      </c>
      <c r="G57" s="33"/>
      <c r="H57" s="33"/>
      <c r="I57" s="33"/>
      <c r="J57" s="33" t="s">
        <v>438</v>
      </c>
      <c r="K57" s="35"/>
    </row>
    <row r="58" spans="1:11" x14ac:dyDescent="0.2">
      <c r="A58" s="33"/>
      <c r="B58" s="33"/>
      <c r="C58" s="66"/>
      <c r="D58" s="53" t="s">
        <v>439</v>
      </c>
      <c r="E58" s="33" t="s">
        <v>181</v>
      </c>
      <c r="F58" s="34" t="s">
        <v>440</v>
      </c>
      <c r="G58" s="33"/>
      <c r="H58" s="33"/>
      <c r="I58" s="33"/>
      <c r="J58" s="33" t="s">
        <v>441</v>
      </c>
      <c r="K58" s="35"/>
    </row>
    <row r="59" spans="1:11" x14ac:dyDescent="0.2">
      <c r="A59" s="33"/>
      <c r="B59" s="33"/>
      <c r="C59" s="66"/>
      <c r="D59" s="53" t="s">
        <v>442</v>
      </c>
      <c r="E59" s="33" t="s">
        <v>181</v>
      </c>
      <c r="F59" s="34" t="s">
        <v>443</v>
      </c>
      <c r="G59" s="33"/>
      <c r="H59" s="33"/>
      <c r="I59" s="33"/>
      <c r="J59" s="33" t="s">
        <v>444</v>
      </c>
      <c r="K59" s="35"/>
    </row>
    <row r="60" spans="1:11" x14ac:dyDescent="0.2">
      <c r="A60" s="33"/>
      <c r="B60" s="33"/>
      <c r="C60" s="66"/>
      <c r="D60" s="53" t="s">
        <v>445</v>
      </c>
      <c r="E60" s="33" t="s">
        <v>181</v>
      </c>
      <c r="F60" s="34" t="s">
        <v>446</v>
      </c>
      <c r="G60" s="33"/>
      <c r="H60" s="33"/>
      <c r="I60" s="33"/>
      <c r="J60" s="33" t="s">
        <v>447</v>
      </c>
      <c r="K60" s="35"/>
    </row>
    <row r="61" spans="1:11" x14ac:dyDescent="0.2">
      <c r="A61" s="33"/>
      <c r="B61" s="33"/>
      <c r="C61" s="66"/>
      <c r="D61" s="53" t="s">
        <v>448</v>
      </c>
      <c r="E61" s="33" t="s">
        <v>181</v>
      </c>
      <c r="F61" s="34" t="s">
        <v>449</v>
      </c>
      <c r="G61" s="33"/>
      <c r="H61" s="33"/>
      <c r="I61" s="33"/>
      <c r="J61" s="33" t="s">
        <v>450</v>
      </c>
      <c r="K61" s="35"/>
    </row>
    <row r="62" spans="1:11" x14ac:dyDescent="0.2">
      <c r="A62" s="14" t="s">
        <v>129</v>
      </c>
      <c r="B62" s="14" t="s">
        <v>451</v>
      </c>
      <c r="C62" s="14" t="s">
        <v>130</v>
      </c>
      <c r="D62" s="14" t="s">
        <v>452</v>
      </c>
      <c r="E62" s="14" t="s">
        <v>453</v>
      </c>
      <c r="F62" s="13" t="s">
        <v>454</v>
      </c>
      <c r="G62" s="14" t="s">
        <v>455</v>
      </c>
      <c r="H62" s="14" t="s">
        <v>259</v>
      </c>
      <c r="I62" s="13" t="s">
        <v>456</v>
      </c>
      <c r="J62" s="14" t="s">
        <v>457</v>
      </c>
      <c r="K62" s="14" t="s">
        <v>458</v>
      </c>
    </row>
    <row r="63" spans="1:11" x14ac:dyDescent="0.2">
      <c r="A63" s="14" t="s">
        <v>51</v>
      </c>
      <c r="B63" s="14" t="s">
        <v>52</v>
      </c>
      <c r="C63" s="14" t="s">
        <v>52</v>
      </c>
      <c r="D63" s="14" t="s">
        <v>459</v>
      </c>
      <c r="E63" s="14" t="s">
        <v>460</v>
      </c>
      <c r="F63" s="13" t="s">
        <v>461</v>
      </c>
      <c r="J63" s="14" t="s">
        <v>462</v>
      </c>
      <c r="K63" s="14" t="s">
        <v>463</v>
      </c>
    </row>
    <row r="64" spans="1:11" x14ac:dyDescent="0.2">
      <c r="A64" s="14" t="s">
        <v>112</v>
      </c>
      <c r="B64" s="14" t="s">
        <v>113</v>
      </c>
      <c r="C64" s="14" t="s">
        <v>113</v>
      </c>
      <c r="D64" s="14" t="s">
        <v>464</v>
      </c>
      <c r="E64" s="14" t="s">
        <v>465</v>
      </c>
      <c r="F64" s="13" t="s">
        <v>466</v>
      </c>
      <c r="G64" s="14" t="s">
        <v>467</v>
      </c>
      <c r="H64" s="14" t="s">
        <v>259</v>
      </c>
      <c r="I64" s="13" t="s">
        <v>468</v>
      </c>
      <c r="J64" s="14" t="s">
        <v>469</v>
      </c>
      <c r="K64" s="14" t="s">
        <v>470</v>
      </c>
    </row>
    <row r="65" spans="1:11" s="60" customFormat="1" x14ac:dyDescent="0.2">
      <c r="A65" s="58" t="s">
        <v>84</v>
      </c>
      <c r="B65" s="58"/>
      <c r="C65" s="58" t="s">
        <v>85</v>
      </c>
      <c r="D65" s="58"/>
      <c r="E65" s="58"/>
      <c r="F65" s="58"/>
      <c r="G65" s="58"/>
      <c r="H65" s="58"/>
      <c r="I65" s="58"/>
      <c r="J65" s="58"/>
      <c r="K65" s="59"/>
    </row>
    <row r="66" spans="1:11" x14ac:dyDescent="0.2">
      <c r="A66" s="54" t="s">
        <v>99</v>
      </c>
      <c r="B66" s="54" t="s">
        <v>471</v>
      </c>
      <c r="C66" s="54" t="s">
        <v>100</v>
      </c>
      <c r="D66" s="54" t="s">
        <v>472</v>
      </c>
      <c r="E66" s="54" t="s">
        <v>473</v>
      </c>
      <c r="F66" s="56" t="s">
        <v>474</v>
      </c>
      <c r="G66" s="54" t="s">
        <v>475</v>
      </c>
      <c r="H66" s="54" t="s">
        <v>259</v>
      </c>
      <c r="I66" s="56" t="s">
        <v>476</v>
      </c>
      <c r="J66" s="54" t="s">
        <v>477</v>
      </c>
      <c r="K66" s="55"/>
    </row>
    <row r="67" spans="1:11" x14ac:dyDescent="0.2">
      <c r="A67" s="54"/>
      <c r="B67" s="54"/>
      <c r="C67" s="54"/>
      <c r="D67" s="54" t="s">
        <v>478</v>
      </c>
      <c r="E67" s="54" t="s">
        <v>479</v>
      </c>
      <c r="F67" s="56" t="s">
        <v>480</v>
      </c>
      <c r="G67" s="54" t="s">
        <v>101</v>
      </c>
      <c r="H67" s="54" t="s">
        <v>259</v>
      </c>
      <c r="I67" s="56" t="s">
        <v>102</v>
      </c>
      <c r="J67" s="54" t="s">
        <v>481</v>
      </c>
      <c r="K67" s="55"/>
    </row>
    <row r="68" spans="1:11" x14ac:dyDescent="0.2">
      <c r="A68" s="54"/>
      <c r="B68" s="54"/>
      <c r="C68" s="54"/>
      <c r="D68" s="54" t="s">
        <v>482</v>
      </c>
      <c r="E68" s="54" t="s">
        <v>479</v>
      </c>
      <c r="F68" s="56" t="s">
        <v>483</v>
      </c>
      <c r="G68" s="54"/>
      <c r="H68" s="54"/>
      <c r="I68" s="54"/>
      <c r="J68" s="54" t="s">
        <v>484</v>
      </c>
      <c r="K68" s="55"/>
    </row>
    <row r="69" spans="1:11" s="60" customFormat="1" x14ac:dyDescent="0.2">
      <c r="A69" s="58" t="s">
        <v>56</v>
      </c>
      <c r="B69" s="58"/>
      <c r="C69" s="58" t="s">
        <v>57</v>
      </c>
      <c r="D69" s="58"/>
      <c r="E69" s="58"/>
      <c r="F69" s="58"/>
      <c r="G69" s="58"/>
      <c r="H69" s="58"/>
      <c r="I69" s="58"/>
      <c r="J69" s="58"/>
      <c r="K69" s="59"/>
    </row>
    <row r="70" spans="1:11" s="60" customFormat="1" x14ac:dyDescent="0.2">
      <c r="A70" s="58" t="s">
        <v>61</v>
      </c>
      <c r="B70" s="58"/>
      <c r="C70" s="58" t="s">
        <v>62</v>
      </c>
      <c r="D70" s="58"/>
      <c r="E70" s="58"/>
      <c r="F70" s="58"/>
      <c r="G70" s="58"/>
      <c r="H70" s="58"/>
      <c r="I70" s="58"/>
      <c r="J70" s="58"/>
      <c r="K70" s="59"/>
    </row>
    <row r="71" spans="1:11" s="60" customFormat="1" x14ac:dyDescent="0.2">
      <c r="A71" s="58" t="s">
        <v>59</v>
      </c>
      <c r="B71" s="58"/>
      <c r="C71" s="58" t="s">
        <v>60</v>
      </c>
      <c r="D71" s="58"/>
      <c r="E71" s="58"/>
      <c r="F71" s="58"/>
      <c r="G71" s="58"/>
      <c r="H71" s="58"/>
      <c r="I71" s="58"/>
      <c r="J71" s="58"/>
      <c r="K71" s="59"/>
    </row>
    <row r="72" spans="1:11" s="60" customFormat="1" x14ac:dyDescent="0.2">
      <c r="A72" s="58" t="s">
        <v>172</v>
      </c>
      <c r="B72" s="58">
        <v>404</v>
      </c>
      <c r="C72" s="58" t="s">
        <v>173</v>
      </c>
      <c r="D72" s="58"/>
      <c r="E72" s="58"/>
      <c r="F72" s="58"/>
      <c r="G72" s="58"/>
      <c r="H72" s="58"/>
      <c r="I72" s="58"/>
      <c r="J72" s="58"/>
      <c r="K72" s="59"/>
    </row>
    <row r="73" spans="1:11" s="60" customFormat="1" x14ac:dyDescent="0.2">
      <c r="A73" s="58" t="s">
        <v>167</v>
      </c>
      <c r="B73" s="58"/>
      <c r="C73" s="58" t="s">
        <v>168</v>
      </c>
      <c r="D73" s="58"/>
      <c r="E73" s="58"/>
      <c r="F73" s="58"/>
      <c r="G73" s="58"/>
      <c r="H73" s="58"/>
      <c r="I73" s="58"/>
      <c r="J73" s="58"/>
      <c r="K73" s="59"/>
    </row>
    <row r="74" spans="1:11" x14ac:dyDescent="0.2">
      <c r="A74" s="14" t="s">
        <v>116</v>
      </c>
      <c r="B74" s="14" t="s">
        <v>117</v>
      </c>
      <c r="C74" s="14" t="s">
        <v>117</v>
      </c>
      <c r="D74" s="14" t="s">
        <v>485</v>
      </c>
      <c r="E74" s="14" t="s">
        <v>486</v>
      </c>
      <c r="F74" s="13" t="s">
        <v>487</v>
      </c>
      <c r="G74" s="14" t="s">
        <v>488</v>
      </c>
      <c r="H74" s="14" t="s">
        <v>259</v>
      </c>
      <c r="I74" s="13" t="s">
        <v>489</v>
      </c>
      <c r="J74" s="14" t="s">
        <v>490</v>
      </c>
      <c r="K74" s="14" t="s">
        <v>491</v>
      </c>
    </row>
    <row r="75" spans="1:11" x14ac:dyDescent="0.2">
      <c r="A75" s="14" t="s">
        <v>141</v>
      </c>
      <c r="B75" s="14" t="s">
        <v>142</v>
      </c>
      <c r="C75" s="14" t="s">
        <v>142</v>
      </c>
      <c r="D75" s="14" t="s">
        <v>492</v>
      </c>
      <c r="E75" s="14" t="s">
        <v>493</v>
      </c>
      <c r="F75" s="13" t="s">
        <v>494</v>
      </c>
      <c r="G75" s="14" t="s">
        <v>143</v>
      </c>
      <c r="H75" s="14" t="s">
        <v>259</v>
      </c>
      <c r="I75" s="13" t="s">
        <v>144</v>
      </c>
      <c r="J75" s="14" t="s">
        <v>495</v>
      </c>
      <c r="K75" s="14" t="s">
        <v>496</v>
      </c>
    </row>
    <row r="76" spans="1:11" s="60" customFormat="1" x14ac:dyDescent="0.2">
      <c r="A76" s="58" t="s">
        <v>86</v>
      </c>
      <c r="B76" s="58"/>
      <c r="C76" s="58" t="s">
        <v>87</v>
      </c>
      <c r="D76" s="58"/>
      <c r="E76" s="58"/>
      <c r="F76" s="58"/>
      <c r="G76" s="58"/>
      <c r="H76" s="58"/>
      <c r="I76" s="58"/>
      <c r="J76" s="58"/>
      <c r="K76" s="59"/>
    </row>
    <row r="77" spans="1:11" s="60" customFormat="1" x14ac:dyDescent="0.2">
      <c r="A77" s="58" t="s">
        <v>88</v>
      </c>
      <c r="B77" s="58"/>
      <c r="C77" s="58" t="s">
        <v>89</v>
      </c>
      <c r="D77" s="58"/>
      <c r="E77" s="58"/>
      <c r="F77" s="58"/>
      <c r="G77" s="58"/>
      <c r="H77" s="58"/>
      <c r="I77" s="58"/>
      <c r="J77" s="58"/>
      <c r="K77" s="59"/>
    </row>
    <row r="78" spans="1:11" x14ac:dyDescent="0.2">
      <c r="A78" s="14" t="s">
        <v>90</v>
      </c>
      <c r="B78" s="14" t="s">
        <v>497</v>
      </c>
      <c r="C78" s="14" t="s">
        <v>91</v>
      </c>
      <c r="D78" s="14" t="s">
        <v>498</v>
      </c>
      <c r="E78" s="14" t="s">
        <v>499</v>
      </c>
      <c r="F78" s="13" t="s">
        <v>500</v>
      </c>
      <c r="G78" s="14" t="s">
        <v>501</v>
      </c>
      <c r="H78" s="14" t="s">
        <v>259</v>
      </c>
      <c r="I78" s="13" t="s">
        <v>502</v>
      </c>
      <c r="J78" s="14" t="s">
        <v>503</v>
      </c>
      <c r="K78" s="14" t="s">
        <v>504</v>
      </c>
    </row>
    <row r="79" spans="1:11" x14ac:dyDescent="0.2">
      <c r="A79" s="14" t="s">
        <v>103</v>
      </c>
      <c r="B79" s="14" t="s">
        <v>505</v>
      </c>
      <c r="C79" s="14" t="s">
        <v>104</v>
      </c>
      <c r="D79" s="14" t="s">
        <v>506</v>
      </c>
      <c r="E79" s="14" t="s">
        <v>507</v>
      </c>
      <c r="F79" s="13" t="s">
        <v>508</v>
      </c>
      <c r="G79" s="14" t="s">
        <v>105</v>
      </c>
      <c r="H79" s="14" t="s">
        <v>259</v>
      </c>
      <c r="I79" s="13" t="s">
        <v>106</v>
      </c>
      <c r="J79" s="14" t="s">
        <v>509</v>
      </c>
      <c r="K79" s="14" t="s">
        <v>510</v>
      </c>
    </row>
    <row r="80" spans="1:11" x14ac:dyDescent="0.2">
      <c r="A80" s="14" t="s">
        <v>63</v>
      </c>
      <c r="B80" s="14" t="s">
        <v>64</v>
      </c>
      <c r="C80" s="14" t="s">
        <v>64</v>
      </c>
      <c r="D80" s="14" t="s">
        <v>511</v>
      </c>
      <c r="E80" s="14" t="s">
        <v>512</v>
      </c>
      <c r="K80" s="14" t="s">
        <v>513</v>
      </c>
    </row>
    <row r="81" spans="1:22" x14ac:dyDescent="0.2">
      <c r="A81" s="14" t="s">
        <v>69</v>
      </c>
      <c r="B81" s="14" t="s">
        <v>70</v>
      </c>
      <c r="C81" s="14" t="s">
        <v>70</v>
      </c>
      <c r="D81" s="14" t="s">
        <v>514</v>
      </c>
      <c r="E81" s="14" t="s">
        <v>515</v>
      </c>
      <c r="F81" s="13" t="s">
        <v>516</v>
      </c>
      <c r="G81" s="14" t="s">
        <v>517</v>
      </c>
      <c r="H81" s="14" t="s">
        <v>259</v>
      </c>
      <c r="I81" s="13" t="s">
        <v>518</v>
      </c>
      <c r="J81" s="14" t="s">
        <v>519</v>
      </c>
      <c r="K81" s="14" t="s">
        <v>520</v>
      </c>
    </row>
    <row r="82" spans="1:22" s="60" customFormat="1" x14ac:dyDescent="0.2">
      <c r="A82" s="58" t="s">
        <v>170</v>
      </c>
      <c r="B82" s="58"/>
      <c r="C82" s="58" t="s">
        <v>214</v>
      </c>
      <c r="D82" s="58"/>
      <c r="E82" s="58"/>
      <c r="F82" s="58"/>
      <c r="G82" s="58"/>
      <c r="H82" s="58"/>
      <c r="I82" s="58"/>
      <c r="J82" s="58"/>
      <c r="K82" s="59"/>
    </row>
    <row r="83" spans="1:22" x14ac:dyDescent="0.2">
      <c r="A83" s="14" t="s">
        <v>158</v>
      </c>
      <c r="B83" s="14" t="s">
        <v>159</v>
      </c>
      <c r="C83" s="14" t="s">
        <v>159</v>
      </c>
      <c r="D83" s="14" t="s">
        <v>521</v>
      </c>
      <c r="E83" s="14" t="s">
        <v>522</v>
      </c>
      <c r="F83" s="13" t="s">
        <v>523</v>
      </c>
      <c r="G83" s="14" t="s">
        <v>524</v>
      </c>
      <c r="H83" s="57" t="s">
        <v>259</v>
      </c>
      <c r="I83" s="13" t="s">
        <v>525</v>
      </c>
      <c r="J83" s="14" t="s">
        <v>526</v>
      </c>
      <c r="K83" s="14" t="s">
        <v>527</v>
      </c>
    </row>
    <row r="86" spans="1:22" x14ac:dyDescent="0.2">
      <c r="C86" s="14" t="s">
        <v>528</v>
      </c>
      <c r="D86" s="14" t="s">
        <v>529</v>
      </c>
    </row>
    <row r="89" spans="1:22" x14ac:dyDescent="0.2">
      <c r="A89"/>
      <c r="B89"/>
      <c r="C89"/>
      <c r="D89"/>
      <c r="E89"/>
      <c r="F89"/>
      <c r="G89"/>
      <c r="H89"/>
      <c r="I89"/>
      <c r="J89"/>
      <c r="K89"/>
      <c r="L89" s="14"/>
      <c r="M89" s="14"/>
      <c r="N89" s="14"/>
      <c r="O89" s="14"/>
      <c r="P89" s="14"/>
      <c r="Q89" s="14"/>
      <c r="R89" s="14"/>
      <c r="S89" s="14"/>
      <c r="T89" s="14"/>
      <c r="U89" s="14"/>
      <c r="V89" s="15"/>
    </row>
    <row r="90" spans="1:22" x14ac:dyDescent="0.2">
      <c r="A90"/>
      <c r="B90"/>
      <c r="C90"/>
      <c r="D90"/>
      <c r="E90"/>
      <c r="F90"/>
      <c r="G90"/>
      <c r="H90"/>
      <c r="I90"/>
      <c r="J90"/>
      <c r="K90"/>
      <c r="L90" s="14"/>
      <c r="M90" s="14"/>
      <c r="N90" s="14"/>
      <c r="O90" s="14"/>
      <c r="P90" s="14"/>
      <c r="Q90" s="14"/>
      <c r="R90" s="14"/>
      <c r="S90" s="14"/>
      <c r="T90" s="14"/>
      <c r="U90" s="14"/>
      <c r="V90" s="15"/>
    </row>
    <row r="91" spans="1:22" x14ac:dyDescent="0.2">
      <c r="A91"/>
      <c r="B91"/>
      <c r="C91"/>
      <c r="D91"/>
      <c r="E91"/>
      <c r="F91"/>
      <c r="G91"/>
      <c r="H91"/>
      <c r="I91"/>
      <c r="J91"/>
      <c r="K91"/>
      <c r="L91" s="14"/>
      <c r="M91" s="14"/>
      <c r="N91" s="14"/>
      <c r="O91" s="14"/>
      <c r="P91" s="14"/>
      <c r="Q91" s="14"/>
      <c r="R91" s="14"/>
      <c r="S91" s="14"/>
      <c r="T91" s="14"/>
      <c r="U91" s="14"/>
      <c r="V91" s="15"/>
    </row>
    <row r="92" spans="1:22" x14ac:dyDescent="0.2">
      <c r="A92"/>
      <c r="B92"/>
      <c r="C92"/>
      <c r="D92"/>
      <c r="E92"/>
      <c r="F92"/>
      <c r="G92"/>
      <c r="H92"/>
      <c r="I92"/>
      <c r="J92"/>
      <c r="K92"/>
      <c r="L92" s="14"/>
      <c r="M92" s="14"/>
      <c r="N92" s="14"/>
      <c r="O92" s="14"/>
      <c r="P92" s="14"/>
      <c r="Q92" s="14"/>
      <c r="R92" s="14"/>
      <c r="S92" s="14"/>
      <c r="T92" s="14"/>
      <c r="U92" s="14"/>
      <c r="V92" s="15"/>
    </row>
    <row r="93" spans="1:22" x14ac:dyDescent="0.2">
      <c r="A93"/>
      <c r="B93"/>
      <c r="C93"/>
      <c r="D93"/>
      <c r="E93"/>
      <c r="F93"/>
      <c r="G93"/>
      <c r="H93"/>
      <c r="I93"/>
      <c r="J93"/>
      <c r="K93"/>
      <c r="L93" s="14"/>
      <c r="M93" s="14"/>
      <c r="N93" s="14"/>
      <c r="O93" s="14"/>
      <c r="P93" s="14"/>
      <c r="Q93" s="14"/>
      <c r="R93" s="14"/>
      <c r="S93" s="14"/>
      <c r="T93" s="14"/>
      <c r="U93" s="14"/>
      <c r="V93" s="15"/>
    </row>
    <row r="94" spans="1:22" x14ac:dyDescent="0.2">
      <c r="A94"/>
      <c r="B94"/>
      <c r="C94"/>
      <c r="D94"/>
      <c r="E94"/>
      <c r="F94"/>
      <c r="G94"/>
      <c r="H94"/>
      <c r="I94"/>
      <c r="J94"/>
      <c r="K94"/>
      <c r="L94" s="14"/>
      <c r="M94" s="14"/>
      <c r="N94" s="14"/>
      <c r="O94" s="14"/>
      <c r="P94" s="14"/>
      <c r="Q94" s="14"/>
      <c r="R94" s="14"/>
      <c r="S94" s="14"/>
      <c r="T94" s="14"/>
      <c r="U94" s="14"/>
      <c r="V94" s="15"/>
    </row>
    <row r="95" spans="1:22" x14ac:dyDescent="0.2">
      <c r="A95"/>
      <c r="B95"/>
      <c r="C95"/>
      <c r="D95"/>
      <c r="E95"/>
      <c r="F95"/>
      <c r="G95"/>
      <c r="H95"/>
      <c r="I95"/>
      <c r="J95"/>
      <c r="K95"/>
      <c r="L95" s="14"/>
      <c r="M95" s="14"/>
      <c r="N95" s="14"/>
      <c r="O95" s="14"/>
      <c r="P95" s="14"/>
      <c r="Q95" s="14"/>
      <c r="R95" s="14"/>
      <c r="S95" s="14"/>
      <c r="T95" s="14"/>
      <c r="U95" s="14"/>
      <c r="V95" s="15"/>
    </row>
    <row r="96" spans="1:22" x14ac:dyDescent="0.2">
      <c r="A96"/>
      <c r="B96"/>
      <c r="C96"/>
      <c r="D96"/>
      <c r="E96"/>
      <c r="F96"/>
      <c r="G96"/>
      <c r="H96"/>
      <c r="I96"/>
      <c r="J96"/>
      <c r="K96"/>
      <c r="L96" s="14"/>
      <c r="M96" s="14"/>
      <c r="N96" s="14"/>
      <c r="O96" s="14"/>
      <c r="P96" s="14"/>
      <c r="Q96" s="14"/>
      <c r="R96" s="14"/>
      <c r="S96" s="14"/>
      <c r="T96" s="14"/>
      <c r="U96" s="14"/>
      <c r="V96" s="15"/>
    </row>
    <row r="97" spans="1:22" x14ac:dyDescent="0.2">
      <c r="A97"/>
      <c r="B97"/>
      <c r="C97"/>
      <c r="D97"/>
      <c r="E97"/>
      <c r="F97"/>
      <c r="G97"/>
      <c r="H97"/>
      <c r="I97"/>
      <c r="J97"/>
      <c r="K97"/>
      <c r="L97" s="14"/>
      <c r="M97" s="14"/>
      <c r="N97" s="14"/>
      <c r="O97" s="14"/>
      <c r="P97" s="14"/>
      <c r="Q97" s="14"/>
      <c r="R97" s="14"/>
      <c r="S97" s="14"/>
      <c r="T97" s="14"/>
      <c r="U97" s="14"/>
      <c r="V97" s="15"/>
    </row>
    <row r="98" spans="1:22" x14ac:dyDescent="0.2">
      <c r="A98"/>
      <c r="B98"/>
      <c r="C98"/>
      <c r="D98"/>
      <c r="E98"/>
      <c r="F98"/>
      <c r="G98"/>
      <c r="H98"/>
      <c r="I98"/>
      <c r="J98"/>
      <c r="K98"/>
      <c r="L98" s="14"/>
      <c r="M98" s="14"/>
      <c r="N98" s="14"/>
      <c r="O98" s="14"/>
      <c r="P98" s="14"/>
      <c r="Q98" s="14"/>
      <c r="R98" s="14"/>
      <c r="S98" s="14"/>
      <c r="T98" s="14"/>
      <c r="U98" s="14"/>
      <c r="V98" s="15"/>
    </row>
    <row r="99" spans="1:22" x14ac:dyDescent="0.2">
      <c r="A99"/>
      <c r="B99"/>
      <c r="C99"/>
      <c r="D99"/>
      <c r="E99"/>
      <c r="F99"/>
      <c r="G99"/>
      <c r="H99"/>
      <c r="I99"/>
      <c r="J99"/>
      <c r="K99"/>
      <c r="L99" s="14"/>
      <c r="M99" s="14"/>
      <c r="N99" s="14"/>
      <c r="O99" s="14"/>
      <c r="P99" s="14"/>
      <c r="Q99" s="14"/>
      <c r="R99" s="14"/>
      <c r="S99" s="14"/>
      <c r="T99" s="14"/>
      <c r="U99" s="14"/>
      <c r="V99" s="15"/>
    </row>
    <row r="100" spans="1:22" x14ac:dyDescent="0.2">
      <c r="A100"/>
      <c r="B100"/>
      <c r="C100"/>
      <c r="D100"/>
      <c r="E100"/>
      <c r="F100"/>
      <c r="G100"/>
      <c r="H100"/>
      <c r="I100"/>
      <c r="J100"/>
      <c r="K100"/>
      <c r="L100" s="14"/>
      <c r="M100" s="14"/>
      <c r="N100" s="14"/>
      <c r="O100" s="14"/>
      <c r="P100" s="14"/>
      <c r="Q100" s="14"/>
      <c r="R100" s="14"/>
      <c r="S100" s="14"/>
      <c r="T100" s="14"/>
      <c r="U100" s="14"/>
      <c r="V100" s="15"/>
    </row>
    <row r="101" spans="1:22" x14ac:dyDescent="0.2">
      <c r="A101"/>
      <c r="B101"/>
      <c r="C101"/>
      <c r="D101"/>
      <c r="E101"/>
      <c r="F101"/>
      <c r="G101"/>
      <c r="H101"/>
      <c r="I101"/>
      <c r="J101"/>
      <c r="K101"/>
      <c r="L101" s="14"/>
      <c r="M101" s="14"/>
      <c r="N101" s="14"/>
      <c r="O101" s="14"/>
      <c r="P101" s="14"/>
      <c r="Q101" s="14"/>
      <c r="R101" s="14"/>
      <c r="S101" s="14"/>
      <c r="T101" s="14"/>
      <c r="U101" s="14"/>
      <c r="V101" s="15"/>
    </row>
    <row r="102" spans="1:22" x14ac:dyDescent="0.2">
      <c r="A102"/>
      <c r="B102"/>
      <c r="C102"/>
      <c r="D102"/>
      <c r="E102"/>
      <c r="F102"/>
      <c r="G102"/>
      <c r="H102"/>
      <c r="I102"/>
      <c r="J102"/>
      <c r="K102"/>
      <c r="L102" s="14"/>
      <c r="M102" s="14"/>
      <c r="N102" s="14"/>
      <c r="O102" s="14"/>
      <c r="P102" s="14"/>
      <c r="Q102" s="14"/>
      <c r="R102" s="14"/>
      <c r="S102" s="14"/>
      <c r="T102" s="14"/>
      <c r="U102" s="14"/>
      <c r="V102" s="15"/>
    </row>
    <row r="103" spans="1:22" x14ac:dyDescent="0.2">
      <c r="A103"/>
      <c r="B103"/>
      <c r="C103"/>
      <c r="D103"/>
      <c r="E103"/>
      <c r="F103"/>
      <c r="G103"/>
      <c r="H103"/>
      <c r="I103"/>
      <c r="J103"/>
      <c r="K103"/>
      <c r="L103" s="14"/>
      <c r="M103" s="14"/>
      <c r="N103" s="14"/>
      <c r="O103" s="14"/>
      <c r="P103" s="14"/>
      <c r="Q103" s="14"/>
      <c r="R103" s="14"/>
      <c r="S103" s="14"/>
      <c r="T103" s="14"/>
      <c r="U103" s="14"/>
      <c r="V103" s="15"/>
    </row>
    <row r="104" spans="1:22" x14ac:dyDescent="0.2">
      <c r="A104"/>
      <c r="B104"/>
      <c r="C104"/>
      <c r="D104"/>
      <c r="E104"/>
      <c r="F104"/>
      <c r="G104"/>
      <c r="H104"/>
      <c r="I104"/>
      <c r="J104"/>
      <c r="K104"/>
      <c r="L104" s="14"/>
      <c r="M104" s="14"/>
      <c r="N104" s="14"/>
      <c r="O104" s="14"/>
      <c r="P104" s="14"/>
      <c r="Q104" s="14"/>
      <c r="R104" s="14"/>
      <c r="S104" s="14"/>
      <c r="T104" s="14"/>
      <c r="U104" s="14"/>
      <c r="V104" s="15"/>
    </row>
    <row r="105" spans="1:22" x14ac:dyDescent="0.2">
      <c r="A105"/>
      <c r="B105"/>
      <c r="C105"/>
      <c r="D105"/>
      <c r="E105"/>
      <c r="F105"/>
      <c r="G105"/>
      <c r="H105"/>
      <c r="I105"/>
      <c r="J105"/>
      <c r="K105"/>
      <c r="L105" s="14"/>
      <c r="M105" s="14"/>
      <c r="N105" s="14"/>
      <c r="O105" s="14"/>
      <c r="P105" s="14"/>
      <c r="Q105" s="14"/>
      <c r="R105" s="14"/>
      <c r="S105" s="14"/>
      <c r="T105" s="14"/>
      <c r="U105" s="14"/>
      <c r="V105" s="15"/>
    </row>
    <row r="106" spans="1:22" x14ac:dyDescent="0.2">
      <c r="A106"/>
      <c r="B106"/>
      <c r="C106"/>
      <c r="D106"/>
      <c r="E106"/>
      <c r="F106"/>
      <c r="G106"/>
      <c r="H106"/>
      <c r="I106"/>
      <c r="J106"/>
      <c r="K106"/>
      <c r="L106" s="14"/>
      <c r="M106" s="14"/>
      <c r="N106" s="14"/>
      <c r="O106" s="14"/>
      <c r="P106" s="14"/>
      <c r="Q106" s="14"/>
      <c r="R106" s="14"/>
      <c r="S106" s="14"/>
      <c r="T106" s="14"/>
      <c r="U106" s="14"/>
      <c r="V106" s="15"/>
    </row>
    <row r="107" spans="1:22" x14ac:dyDescent="0.2">
      <c r="A107"/>
      <c r="B107"/>
      <c r="C107"/>
      <c r="D107"/>
      <c r="E107"/>
      <c r="F107"/>
      <c r="G107"/>
      <c r="H107"/>
      <c r="I107"/>
      <c r="J107"/>
      <c r="K107"/>
      <c r="L107" s="14"/>
      <c r="M107" s="14"/>
      <c r="N107" s="14"/>
      <c r="O107" s="14"/>
      <c r="P107" s="14"/>
      <c r="Q107" s="14"/>
      <c r="R107" s="14"/>
      <c r="S107" s="14"/>
      <c r="T107" s="14"/>
      <c r="U107" s="14"/>
      <c r="V107" s="15"/>
    </row>
    <row r="108" spans="1:22" x14ac:dyDescent="0.2">
      <c r="A108"/>
      <c r="B108"/>
      <c r="C108"/>
      <c r="D108"/>
      <c r="E108"/>
      <c r="F108"/>
      <c r="G108"/>
      <c r="H108"/>
      <c r="I108"/>
      <c r="J108"/>
      <c r="K108"/>
      <c r="L108" s="14"/>
      <c r="M108" s="14"/>
      <c r="N108" s="14"/>
      <c r="O108" s="14"/>
      <c r="P108" s="14"/>
      <c r="Q108" s="14"/>
      <c r="R108" s="14"/>
      <c r="S108" s="14"/>
      <c r="T108" s="14"/>
      <c r="U108" s="14"/>
      <c r="V108" s="15"/>
    </row>
    <row r="109" spans="1:22" x14ac:dyDescent="0.2">
      <c r="A109"/>
      <c r="B109"/>
      <c r="C109"/>
      <c r="D109"/>
      <c r="E109"/>
      <c r="F109"/>
      <c r="G109"/>
      <c r="H109"/>
      <c r="I109"/>
      <c r="J109"/>
      <c r="K109"/>
      <c r="L109" s="14"/>
      <c r="M109" s="14"/>
      <c r="N109" s="14"/>
      <c r="O109" s="14"/>
      <c r="P109" s="14"/>
      <c r="Q109" s="14"/>
      <c r="R109" s="14"/>
      <c r="S109" s="14"/>
      <c r="T109" s="14"/>
      <c r="U109" s="14"/>
      <c r="V109" s="15"/>
    </row>
    <row r="110" spans="1:22" x14ac:dyDescent="0.2">
      <c r="A110"/>
      <c r="B110"/>
      <c r="C110"/>
      <c r="D110"/>
      <c r="E110"/>
      <c r="F110"/>
      <c r="G110"/>
      <c r="H110"/>
      <c r="I110"/>
      <c r="J110"/>
      <c r="K110"/>
      <c r="L110" s="14"/>
      <c r="M110" s="14"/>
      <c r="N110" s="14"/>
      <c r="O110" s="14"/>
      <c r="P110" s="14"/>
      <c r="Q110" s="14"/>
      <c r="R110" s="14"/>
      <c r="S110" s="14"/>
      <c r="T110" s="14"/>
      <c r="U110" s="14"/>
      <c r="V110" s="15"/>
    </row>
    <row r="111" spans="1:22" x14ac:dyDescent="0.2">
      <c r="A111"/>
      <c r="B111"/>
      <c r="C111"/>
      <c r="D111"/>
      <c r="E111"/>
      <c r="F111"/>
      <c r="G111"/>
      <c r="H111"/>
      <c r="I111"/>
      <c r="J111"/>
      <c r="K111"/>
      <c r="L111" s="14"/>
      <c r="M111" s="14"/>
      <c r="N111" s="14"/>
      <c r="O111" s="14"/>
      <c r="P111" s="14"/>
      <c r="Q111" s="14"/>
      <c r="R111" s="14"/>
      <c r="S111" s="14"/>
      <c r="T111" s="14"/>
      <c r="U111" s="14"/>
      <c r="V111" s="15"/>
    </row>
    <row r="112" spans="1:22" x14ac:dyDescent="0.2">
      <c r="A112"/>
      <c r="B112"/>
      <c r="C112"/>
      <c r="D112"/>
      <c r="E112"/>
      <c r="F112"/>
      <c r="G112"/>
      <c r="H112"/>
      <c r="I112"/>
      <c r="J112"/>
      <c r="K112"/>
      <c r="L112" s="14"/>
      <c r="M112" s="14"/>
      <c r="N112" s="14"/>
      <c r="O112" s="14"/>
      <c r="P112" s="14"/>
      <c r="Q112" s="14"/>
      <c r="R112" s="14"/>
      <c r="S112" s="14"/>
      <c r="T112" s="14"/>
      <c r="U112" s="14"/>
      <c r="V112" s="15"/>
    </row>
    <row r="113" spans="1:22" x14ac:dyDescent="0.2">
      <c r="A113"/>
      <c r="B113"/>
      <c r="C113"/>
      <c r="D113"/>
      <c r="E113"/>
      <c r="F113"/>
      <c r="G113"/>
      <c r="H113"/>
      <c r="I113"/>
      <c r="J113"/>
      <c r="K113"/>
      <c r="L113" s="14"/>
      <c r="M113" s="14"/>
      <c r="N113" s="14"/>
      <c r="O113" s="14"/>
      <c r="P113" s="14"/>
      <c r="Q113" s="14"/>
      <c r="R113" s="14"/>
      <c r="S113" s="14"/>
      <c r="T113" s="14"/>
      <c r="U113" s="14"/>
      <c r="V113" s="15"/>
    </row>
    <row r="114" spans="1:22" x14ac:dyDescent="0.2">
      <c r="A114"/>
      <c r="B114"/>
      <c r="C114"/>
      <c r="D114"/>
      <c r="E114"/>
      <c r="F114"/>
      <c r="G114"/>
      <c r="H114"/>
      <c r="I114"/>
      <c r="J114"/>
      <c r="K114"/>
      <c r="L114" s="14"/>
      <c r="M114" s="14"/>
      <c r="N114" s="14"/>
      <c r="O114" s="14"/>
      <c r="P114" s="14"/>
      <c r="Q114" s="14"/>
      <c r="R114" s="14"/>
      <c r="S114" s="14"/>
      <c r="T114" s="14"/>
      <c r="U114" s="14"/>
      <c r="V114" s="15"/>
    </row>
    <row r="115" spans="1:22" x14ac:dyDescent="0.2">
      <c r="A115"/>
      <c r="B115"/>
      <c r="C115"/>
      <c r="D115"/>
      <c r="E115"/>
      <c r="F115"/>
      <c r="G115"/>
      <c r="H115"/>
      <c r="I115"/>
      <c r="J115"/>
      <c r="K115"/>
      <c r="L115" s="14"/>
      <c r="M115" s="14"/>
      <c r="N115" s="14"/>
      <c r="O115" s="14"/>
      <c r="P115" s="14"/>
      <c r="Q115" s="14"/>
      <c r="R115" s="14"/>
      <c r="S115" s="14"/>
      <c r="T115" s="14"/>
      <c r="U115" s="14"/>
      <c r="V115" s="15"/>
    </row>
    <row r="116" spans="1:22" x14ac:dyDescent="0.2">
      <c r="A116"/>
      <c r="B116"/>
      <c r="C116"/>
      <c r="D116"/>
      <c r="E116"/>
      <c r="F116"/>
      <c r="G116"/>
      <c r="H116"/>
      <c r="I116"/>
      <c r="J116"/>
      <c r="K116"/>
      <c r="L116" s="14"/>
      <c r="M116" s="14"/>
      <c r="N116" s="14"/>
      <c r="O116" s="14"/>
      <c r="P116" s="14"/>
      <c r="Q116" s="14"/>
      <c r="R116" s="14"/>
      <c r="S116" s="14"/>
      <c r="T116" s="14"/>
      <c r="U116" s="14"/>
      <c r="V116" s="15"/>
    </row>
    <row r="117" spans="1:22" x14ac:dyDescent="0.2">
      <c r="A117"/>
      <c r="B117"/>
      <c r="C117"/>
      <c r="D117"/>
      <c r="E117"/>
      <c r="F117"/>
      <c r="G117"/>
      <c r="H117"/>
      <c r="I117"/>
      <c r="J117"/>
      <c r="K117"/>
      <c r="L117" s="14"/>
      <c r="M117" s="14"/>
      <c r="N117" s="14"/>
      <c r="O117" s="14"/>
      <c r="P117" s="14"/>
      <c r="Q117" s="14"/>
      <c r="R117" s="14"/>
      <c r="S117" s="14"/>
      <c r="T117" s="14"/>
      <c r="U117" s="14"/>
      <c r="V117" s="15"/>
    </row>
    <row r="118" spans="1:22" x14ac:dyDescent="0.2">
      <c r="A118"/>
      <c r="B118"/>
      <c r="C118"/>
      <c r="D118"/>
      <c r="E118"/>
      <c r="F118"/>
      <c r="G118"/>
      <c r="H118"/>
      <c r="I118"/>
      <c r="J118"/>
      <c r="K118"/>
      <c r="L118" s="14"/>
      <c r="M118" s="14"/>
      <c r="N118" s="14"/>
      <c r="O118" s="14"/>
      <c r="P118" s="14"/>
      <c r="Q118" s="14"/>
      <c r="R118" s="14"/>
      <c r="S118" s="14"/>
      <c r="T118" s="14"/>
      <c r="U118" s="14"/>
      <c r="V118" s="15"/>
    </row>
    <row r="119" spans="1:22" x14ac:dyDescent="0.2">
      <c r="A119"/>
      <c r="B119"/>
      <c r="C119"/>
      <c r="D119"/>
      <c r="E119"/>
      <c r="F119"/>
      <c r="G119"/>
      <c r="H119"/>
      <c r="I119"/>
      <c r="J119"/>
      <c r="K119"/>
      <c r="L119" s="14"/>
      <c r="M119" s="14"/>
      <c r="N119" s="14"/>
      <c r="O119" s="14"/>
      <c r="P119" s="14"/>
      <c r="Q119" s="14"/>
      <c r="R119" s="14"/>
      <c r="S119" s="14"/>
      <c r="T119" s="14"/>
      <c r="U119" s="14"/>
      <c r="V119" s="15"/>
    </row>
  </sheetData>
  <hyperlinks>
    <hyperlink ref="F2" r:id="rId1" xr:uid="{BC964718-FBD6-4CD3-AAFD-82C4E6C5D420}"/>
    <hyperlink ref="I2" r:id="rId2" xr:uid="{D16B1E99-7A64-4CD0-8129-52BC84B355D6}"/>
    <hyperlink ref="F4" r:id="rId3" xr:uid="{36DC6117-E6D9-4AA5-8A3B-00BAFBE6DDF3}"/>
    <hyperlink ref="I4" r:id="rId4" xr:uid="{0BEA5589-2DEE-4085-96B5-7C5F70E0A278}"/>
    <hyperlink ref="F7" r:id="rId5" xr:uid="{1E58B02A-A516-48A0-9412-088ACA87EA56}"/>
    <hyperlink ref="I7" r:id="rId6" xr:uid="{DE323F21-44E1-4BC0-8D3F-CACD427F3C87}"/>
    <hyperlink ref="F11" r:id="rId7" xr:uid="{CE02A8EE-FAEF-43B1-AB67-91C5D4AF722C}"/>
    <hyperlink ref="I11" r:id="rId8" xr:uid="{0F0AD7D8-F105-42E5-93C2-D51B17A5E280}"/>
    <hyperlink ref="F8" r:id="rId9" xr:uid="{EE97652C-3485-4420-B075-D015D8346556}"/>
    <hyperlink ref="F9" r:id="rId10" xr:uid="{FED980E4-64E6-4874-95EA-21F537EC0618}"/>
    <hyperlink ref="I8" r:id="rId11" xr:uid="{D1DA8E53-13CE-40C3-B8CC-0E23E7FCECA7}"/>
    <hyperlink ref="I9" r:id="rId12" xr:uid="{921353F2-3A2D-48D1-96DC-3849963A540D}"/>
    <hyperlink ref="I10" r:id="rId13" xr:uid="{562EC10E-7B00-43D6-A3D2-5C035B97F0CA}"/>
    <hyperlink ref="F16" r:id="rId14" xr:uid="{8EA3C571-E48B-4D05-A086-E72BA5E18DF7}"/>
    <hyperlink ref="F17" r:id="rId15" xr:uid="{48027E26-C11D-4206-BCA2-CEF8B65DA3AA}"/>
    <hyperlink ref="F18" r:id="rId16" xr:uid="{263FCFA5-4F06-4B88-A754-3BCCE6F00924}"/>
    <hyperlink ref="I16" r:id="rId17" xr:uid="{99A2ED59-D151-4636-850F-DE173FBCC6F4}"/>
    <hyperlink ref="F14" r:id="rId18" xr:uid="{AA69F738-B379-49F9-84A9-E3DA5907FFCA}"/>
    <hyperlink ref="F15" r:id="rId19" xr:uid="{B476154A-E1F3-4CF9-B587-D48AD4609FBD}"/>
    <hyperlink ref="I14" r:id="rId20" xr:uid="{677357FD-D1BD-45E9-B89A-A755382D54EA}"/>
    <hyperlink ref="F20" r:id="rId21" xr:uid="{676D049C-3B54-4FA1-9AA0-A66512E92183}"/>
    <hyperlink ref="I20" r:id="rId22" xr:uid="{9077E3CE-5543-4135-AA86-BCF92FDB23E1}"/>
    <hyperlink ref="F21" r:id="rId23" xr:uid="{0DAE1736-552D-40BF-8DD1-957D604496B8}"/>
    <hyperlink ref="I21" r:id="rId24" xr:uid="{F4A910EF-0756-4733-BE8E-0DAD3712E8A8}"/>
    <hyperlink ref="F23" r:id="rId25" xr:uid="{6805F4A5-F317-42BF-9EBB-F4556AA5BA33}"/>
    <hyperlink ref="F24" r:id="rId26" xr:uid="{4848E473-1AF4-471C-8F66-5416AC425DA0}"/>
    <hyperlink ref="I23" r:id="rId27" xr:uid="{8DF627B7-9183-422B-AE78-4A5B1E99C464}"/>
    <hyperlink ref="I24" r:id="rId28" xr:uid="{BD0663C8-3312-4C12-B877-A0B0F1884D13}"/>
    <hyperlink ref="F25" r:id="rId29" xr:uid="{17BC84BA-720B-45A1-A984-F680A3274C27}"/>
    <hyperlink ref="I25" r:id="rId30" xr:uid="{E2CB3464-5847-48DE-B22D-78377C420177}"/>
    <hyperlink ref="F26" r:id="rId31" xr:uid="{FCC680E2-9767-4499-B8C2-85BBD5107893}"/>
    <hyperlink ref="I26" r:id="rId32" xr:uid="{5BE444BE-2FE3-4DD2-AD33-7D35DB80DEF4}"/>
    <hyperlink ref="F27" r:id="rId33" xr:uid="{8FFA5C39-D9F8-4EF3-B610-E2731DE10328}"/>
    <hyperlink ref="F28" r:id="rId34" xr:uid="{0C2099EC-5F8B-4C41-A7F6-ADCEF09A7974}"/>
    <hyperlink ref="F29" r:id="rId35" xr:uid="{C604A7F8-8953-4540-BC5A-60D91B265DE8}"/>
    <hyperlink ref="F30" r:id="rId36" xr:uid="{80642F7E-BBFA-49F2-8C44-D914C374065F}"/>
    <hyperlink ref="F31" r:id="rId37" xr:uid="{F2FE7414-8FE8-4362-B021-A1F07B51E26F}"/>
    <hyperlink ref="F32" r:id="rId38" xr:uid="{CA71C6AB-9CE7-4A5C-B960-1ADEFCE67387}"/>
    <hyperlink ref="F33" r:id="rId39" xr:uid="{03736488-7320-4225-90C4-E2F0D66549D5}"/>
    <hyperlink ref="F34" r:id="rId40" xr:uid="{43A10818-30C0-4E47-9BF5-BD43ED15AA3F}"/>
    <hyperlink ref="F35" r:id="rId41" xr:uid="{B5A50684-5FB1-44AA-A6D4-A6AA9B3AD0B4}"/>
    <hyperlink ref="F36" r:id="rId42" xr:uid="{C7FBCB5B-7BA1-4EBE-A646-E5988C774808}"/>
    <hyperlink ref="F37" r:id="rId43" xr:uid="{8B7011EC-3CCE-4079-A496-7839D1DB48BF}"/>
    <hyperlink ref="F38" r:id="rId44" xr:uid="{78B1C0B5-225D-490A-9D47-62097DF909A9}"/>
    <hyperlink ref="F39" r:id="rId45" xr:uid="{5DD2F66B-1C55-45CD-AAC7-9B35CE135A28}"/>
    <hyperlink ref="F40" r:id="rId46" xr:uid="{6263DB8E-63FB-453E-B51D-02B481368D92}"/>
    <hyperlink ref="F41" r:id="rId47" xr:uid="{E69BA748-25DD-40AF-BCCA-441603D4FBB4}"/>
    <hyperlink ref="F42" r:id="rId48" xr:uid="{4C9CCC6E-94BC-4EEB-A0CE-99FD38F87CD4}"/>
    <hyperlink ref="F43" r:id="rId49" xr:uid="{921DC157-A551-4308-A212-9F6607E6C09D}"/>
    <hyperlink ref="F44" r:id="rId50" xr:uid="{C2AA0F29-085E-4518-9302-0E001AEBFF84}"/>
    <hyperlink ref="F45" r:id="rId51" xr:uid="{9AD177A2-7B15-4D01-80E4-E5B2A1D7FCF5}"/>
    <hyperlink ref="F46" r:id="rId52" xr:uid="{30260DD2-4285-4BDA-8BAF-48069D5AA72D}"/>
    <hyperlink ref="F47" r:id="rId53" xr:uid="{DA509776-41AB-45D0-A7EA-AE161F57E03D}"/>
    <hyperlink ref="F48" r:id="rId54" xr:uid="{D502330F-A9D0-44B0-B29A-BAEB2A8FE847}"/>
    <hyperlink ref="F49" r:id="rId55" xr:uid="{6E39CC60-6159-4ABD-9EA0-437BD321C863}"/>
    <hyperlink ref="F50" r:id="rId56" xr:uid="{66C78E21-A93E-40A8-94D3-7254CF54FA58}"/>
    <hyperlink ref="F51" r:id="rId57" xr:uid="{38ADF00A-5249-4BCC-905D-358F273E858C}"/>
    <hyperlink ref="F52" r:id="rId58" xr:uid="{6F5F818F-E86E-4409-B31C-BE3AABDF0DB8}"/>
    <hyperlink ref="F53" r:id="rId59" xr:uid="{180A14C9-45FD-44AA-8647-D96F942D322E}"/>
    <hyperlink ref="F54" r:id="rId60" xr:uid="{15270B0A-B7D3-48DB-9C92-8C30000078CA}"/>
    <hyperlink ref="F55" r:id="rId61" xr:uid="{D8E41259-80BB-41D9-9098-F0D6EF800BEB}"/>
    <hyperlink ref="F56" r:id="rId62" xr:uid="{7906FDD1-909A-4604-8386-993F7100C43A}"/>
    <hyperlink ref="F57" r:id="rId63" xr:uid="{60EC2488-EB91-4779-8AC9-8D8B5751E07C}"/>
    <hyperlink ref="F58" r:id="rId64" xr:uid="{6362AE54-D5FC-4D8A-8032-E3D02CAECE6E}"/>
    <hyperlink ref="F59" r:id="rId65" xr:uid="{153D7017-BC5E-4B98-9E64-8BE7277CC41B}"/>
    <hyperlink ref="F60" r:id="rId66" xr:uid="{98F36959-1597-4E1E-BFA6-DA6EF4DBB2B4}"/>
    <hyperlink ref="F61" r:id="rId67" xr:uid="{78C88905-7562-480E-B94A-B8E64DD138F8}"/>
    <hyperlink ref="F64" r:id="rId68" xr:uid="{6A30AF96-0855-4BEE-B0DE-50A1D4BD2B56}"/>
    <hyperlink ref="I64" r:id="rId69" xr:uid="{47CAF4BF-2FA5-4F86-A266-E82B16F3EB7E}"/>
    <hyperlink ref="F62" r:id="rId70" xr:uid="{55A83629-F9FA-44AD-B183-CDFD1DBB6F7E}"/>
    <hyperlink ref="I62" r:id="rId71" xr:uid="{A2EBD223-F8DA-4CB2-844E-EE52FF23CB30}"/>
    <hyperlink ref="F63" r:id="rId72" xr:uid="{398BF3A2-ABC4-4F50-B342-F6D66642C9E6}"/>
    <hyperlink ref="F66" r:id="rId73" xr:uid="{DDBFD37F-D629-43B3-95A8-1FDEA34AD70F}"/>
    <hyperlink ref="I66" r:id="rId74" xr:uid="{EE0C9E81-CCBF-40A1-A672-D66EE801827B}"/>
    <hyperlink ref="F67" r:id="rId75" xr:uid="{8DD2EBD1-0747-4F57-A7B7-FC08FB7018E3}"/>
    <hyperlink ref="I67" r:id="rId76" xr:uid="{067B4EB3-498B-4BDD-8B37-8629153BE3AA}"/>
    <hyperlink ref="F68" r:id="rId77" xr:uid="{F418101B-1D04-495D-B7EE-0C29A27A735F}"/>
    <hyperlink ref="F75" r:id="rId78" xr:uid="{EF8055BC-0DD8-46D7-804A-61B5967F654A}"/>
    <hyperlink ref="I75" r:id="rId79" xr:uid="{B48AE29F-EF10-4050-B514-F477C4E7BAA0}"/>
    <hyperlink ref="F74" r:id="rId80" xr:uid="{46E9FE46-64C2-49DA-9CCD-91DB4786380B}"/>
    <hyperlink ref="I74" r:id="rId81" xr:uid="{ED592D43-9CB3-48DC-AACB-0FE76F326B5A}"/>
    <hyperlink ref="F78" r:id="rId82" xr:uid="{8E1D16E7-95A7-4A2C-8794-F27C92144A67}"/>
    <hyperlink ref="I78" r:id="rId83" xr:uid="{A6658093-F6BB-4915-A25A-3EEE02AC77B5}"/>
    <hyperlink ref="F79" r:id="rId84" xr:uid="{F15304AF-5B6F-4A78-87FB-AE2D9E6E0F4F}"/>
    <hyperlink ref="I79" r:id="rId85" xr:uid="{0B2CF7BD-48CF-4F0F-AA52-C2F27F4F3D68}"/>
    <hyperlink ref="F81" r:id="rId86" xr:uid="{1A366C33-CBAF-4AF6-A2BF-B220C375B6AA}"/>
    <hyperlink ref="I81" r:id="rId87" xr:uid="{B2B6D04A-9104-4511-A913-6F28AD043919}"/>
    <hyperlink ref="I83" r:id="rId88" xr:uid="{63DE53F5-717C-4E29-8826-D14135EB2E73}"/>
    <hyperlink ref="F83" r:id="rId89" xr:uid="{C9D2C657-01D6-4E48-83BE-945F4BD5D9B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C98D8-2D8D-4505-B9F8-A5DC3B576F48}">
  <sheetPr>
    <tabColor rgb="FFFFFF00"/>
  </sheetPr>
  <dimension ref="A1:AW76"/>
  <sheetViews>
    <sheetView workbookViewId="0">
      <selection activeCell="G26" sqref="G26"/>
    </sheetView>
  </sheetViews>
  <sheetFormatPr baseColWidth="10" defaultColWidth="8.83203125" defaultRowHeight="15" x14ac:dyDescent="0.2"/>
  <cols>
    <col min="1" max="1" width="11.83203125" style="14" bestFit="1" customWidth="1"/>
    <col min="2" max="2" width="41.33203125" style="14" customWidth="1"/>
    <col min="3" max="3" width="11" customWidth="1"/>
    <col min="8" max="8" width="18.5" bestFit="1" customWidth="1"/>
    <col min="9" max="12" width="13.5" customWidth="1"/>
    <col min="13" max="14" width="11.5" bestFit="1" customWidth="1"/>
    <col min="15" max="15" width="18.5" bestFit="1" customWidth="1"/>
    <col min="16" max="16" width="14.5" bestFit="1" customWidth="1"/>
    <col min="17" max="17" width="18.5" bestFit="1" customWidth="1"/>
    <col min="18" max="18" width="19.5" bestFit="1" customWidth="1"/>
    <col min="19" max="19" width="23.5" bestFit="1" customWidth="1"/>
    <col min="20" max="20" width="4.83203125" bestFit="1" customWidth="1"/>
    <col min="21" max="21" width="4.5" bestFit="1" customWidth="1"/>
    <col min="22" max="22" width="4.83203125" bestFit="1" customWidth="1"/>
    <col min="23" max="23" width="4.6640625" bestFit="1" customWidth="1"/>
    <col min="24" max="24" width="5.1640625" bestFit="1" customWidth="1"/>
    <col min="25" max="26" width="5" bestFit="1" customWidth="1"/>
    <col min="27" max="27" width="5.1640625" bestFit="1" customWidth="1"/>
    <col min="28" max="28" width="4.33203125" bestFit="1" customWidth="1"/>
    <col min="29" max="29" width="5.1640625" bestFit="1" customWidth="1"/>
    <col min="30" max="30" width="4.5" bestFit="1" customWidth="1"/>
    <col min="31" max="31" width="5.6640625" bestFit="1" customWidth="1"/>
    <col min="32" max="32" width="4.6640625" bestFit="1" customWidth="1"/>
    <col min="33" max="33" width="5.33203125" bestFit="1" customWidth="1"/>
    <col min="34" max="34" width="4.6640625" bestFit="1" customWidth="1"/>
    <col min="35" max="35" width="4.1640625" bestFit="1" customWidth="1"/>
    <col min="36" max="37" width="4.83203125" bestFit="1" customWidth="1"/>
    <col min="38" max="38" width="4.1640625" bestFit="1" customWidth="1"/>
    <col min="39" max="39" width="4.83203125" bestFit="1" customWidth="1"/>
    <col min="40" max="40" width="4.6640625" bestFit="1" customWidth="1"/>
    <col min="41" max="41" width="4.83203125" bestFit="1" customWidth="1"/>
    <col min="42" max="42" width="5.33203125" bestFit="1" customWidth="1"/>
    <col min="43" max="43" width="4" bestFit="1" customWidth="1"/>
    <col min="44" max="44" width="4.83203125" bestFit="1" customWidth="1"/>
    <col min="45" max="45" width="4.6640625" bestFit="1" customWidth="1"/>
    <col min="46" max="46" width="4.33203125" bestFit="1" customWidth="1"/>
    <col min="47" max="47" width="4.5" bestFit="1" customWidth="1"/>
    <col min="48" max="48" width="5.33203125" bestFit="1" customWidth="1"/>
    <col min="49" max="49" width="11.5" bestFit="1" customWidth="1"/>
  </cols>
  <sheetData>
    <row r="1" spans="1:49" s="62" customFormat="1" x14ac:dyDescent="0.2">
      <c r="A1" s="57" t="s">
        <v>215</v>
      </c>
      <c r="B1" s="57" t="s">
        <v>1</v>
      </c>
      <c r="C1" s="62" t="s">
        <v>530</v>
      </c>
      <c r="D1" s="62" t="s">
        <v>531</v>
      </c>
      <c r="H1"/>
      <c r="I1" s="68" t="s">
        <v>531</v>
      </c>
      <c r="J1"/>
      <c r="K1"/>
      <c r="L1"/>
      <c r="M1"/>
      <c r="N1"/>
      <c r="O1"/>
      <c r="P1"/>
      <c r="Q1"/>
      <c r="R1"/>
      <c r="S1"/>
      <c r="T1"/>
      <c r="U1"/>
      <c r="V1"/>
      <c r="W1"/>
      <c r="X1"/>
      <c r="Y1"/>
      <c r="Z1"/>
      <c r="AA1"/>
      <c r="AB1"/>
      <c r="AC1"/>
      <c r="AD1"/>
      <c r="AE1"/>
      <c r="AF1"/>
      <c r="AG1"/>
      <c r="AH1"/>
      <c r="AI1"/>
      <c r="AJ1"/>
      <c r="AK1"/>
      <c r="AL1"/>
      <c r="AM1"/>
      <c r="AN1"/>
      <c r="AO1"/>
      <c r="AP1"/>
      <c r="AQ1"/>
      <c r="AR1"/>
      <c r="AS1"/>
      <c r="AT1"/>
      <c r="AU1"/>
      <c r="AV1"/>
      <c r="AW1"/>
    </row>
    <row r="2" spans="1:49" ht="15.75" customHeight="1" x14ac:dyDescent="0.2">
      <c r="A2" s="14" t="s">
        <v>39</v>
      </c>
      <c r="B2" s="14" t="s">
        <v>40</v>
      </c>
      <c r="C2">
        <v>79</v>
      </c>
      <c r="D2">
        <v>2</v>
      </c>
      <c r="I2">
        <v>1</v>
      </c>
      <c r="J2">
        <v>2</v>
      </c>
      <c r="K2">
        <v>3</v>
      </c>
      <c r="L2">
        <v>4</v>
      </c>
      <c r="M2" t="s">
        <v>532</v>
      </c>
    </row>
    <row r="3" spans="1:49" x14ac:dyDescent="0.2">
      <c r="A3" s="14" t="s">
        <v>145</v>
      </c>
      <c r="B3" s="14" t="s">
        <v>146</v>
      </c>
      <c r="C3">
        <v>357</v>
      </c>
      <c r="D3">
        <v>4</v>
      </c>
      <c r="H3" t="s">
        <v>533</v>
      </c>
      <c r="I3">
        <v>2862</v>
      </c>
      <c r="J3">
        <v>6228</v>
      </c>
      <c r="K3">
        <v>4677</v>
      </c>
      <c r="L3">
        <v>4305</v>
      </c>
      <c r="M3">
        <v>18072</v>
      </c>
    </row>
    <row r="4" spans="1:49" ht="16.5" customHeight="1" x14ac:dyDescent="0.2">
      <c r="A4" s="14" t="s">
        <v>147</v>
      </c>
      <c r="B4" s="14" t="s">
        <v>148</v>
      </c>
      <c r="C4">
        <v>108</v>
      </c>
      <c r="D4">
        <v>4</v>
      </c>
    </row>
    <row r="5" spans="1:49" x14ac:dyDescent="0.2">
      <c r="A5" s="14" t="s">
        <v>152</v>
      </c>
      <c r="B5" s="14" t="s">
        <v>153</v>
      </c>
      <c r="C5">
        <v>11</v>
      </c>
      <c r="D5">
        <v>4</v>
      </c>
      <c r="H5" s="69" t="s">
        <v>534</v>
      </c>
      <c r="I5">
        <v>5000</v>
      </c>
      <c r="J5">
        <v>10000</v>
      </c>
      <c r="K5">
        <v>15000</v>
      </c>
      <c r="L5">
        <v>20000</v>
      </c>
    </row>
    <row r="6" spans="1:49" x14ac:dyDescent="0.2">
      <c r="A6" s="14" t="s">
        <v>120</v>
      </c>
      <c r="B6" s="14" t="s">
        <v>122</v>
      </c>
      <c r="C6">
        <v>1</v>
      </c>
      <c r="D6">
        <v>3</v>
      </c>
      <c r="H6" s="69" t="s">
        <v>535</v>
      </c>
      <c r="I6">
        <v>5000</v>
      </c>
      <c r="J6">
        <v>5000</v>
      </c>
      <c r="K6">
        <v>5000</v>
      </c>
      <c r="L6">
        <v>5000</v>
      </c>
    </row>
    <row r="7" spans="1:49" ht="15.75" customHeight="1" x14ac:dyDescent="0.2">
      <c r="A7" s="14" t="s">
        <v>45</v>
      </c>
      <c r="B7" s="14" t="s">
        <v>46</v>
      </c>
      <c r="C7">
        <v>291</v>
      </c>
      <c r="D7">
        <v>2</v>
      </c>
      <c r="H7" s="69" t="s">
        <v>536</v>
      </c>
      <c r="I7">
        <v>2862</v>
      </c>
      <c r="J7">
        <v>6228</v>
      </c>
      <c r="K7">
        <v>4677</v>
      </c>
      <c r="L7">
        <v>4305</v>
      </c>
    </row>
    <row r="8" spans="1:49" x14ac:dyDescent="0.2">
      <c r="A8" s="14" t="s">
        <v>107</v>
      </c>
      <c r="B8" s="14" t="s">
        <v>108</v>
      </c>
      <c r="C8">
        <v>102</v>
      </c>
      <c r="D8">
        <v>3</v>
      </c>
      <c r="H8" s="69" t="s">
        <v>537</v>
      </c>
      <c r="I8">
        <v>0</v>
      </c>
      <c r="J8">
        <f>J7-I9</f>
        <v>4090</v>
      </c>
      <c r="K8">
        <f>K7-J9</f>
        <v>3767</v>
      </c>
      <c r="L8">
        <f>L7-K9</f>
        <v>3072</v>
      </c>
    </row>
    <row r="9" spans="1:49" ht="18" customHeight="1" x14ac:dyDescent="0.2">
      <c r="A9" s="14" t="s">
        <v>28</v>
      </c>
      <c r="B9" s="14" t="s">
        <v>29</v>
      </c>
      <c r="C9">
        <v>272</v>
      </c>
      <c r="D9">
        <v>1</v>
      </c>
      <c r="H9" s="69" t="s">
        <v>538</v>
      </c>
      <c r="I9">
        <f>I6-I7</f>
        <v>2138</v>
      </c>
      <c r="J9">
        <f>J6-J8</f>
        <v>910</v>
      </c>
      <c r="K9">
        <f>K6-K8</f>
        <v>1233</v>
      </c>
      <c r="L9">
        <f>L6-L8</f>
        <v>1928</v>
      </c>
    </row>
    <row r="10" spans="1:49" x14ac:dyDescent="0.2">
      <c r="A10" s="14" t="s">
        <v>154</v>
      </c>
      <c r="B10" s="14" t="s">
        <v>155</v>
      </c>
      <c r="C10">
        <v>2</v>
      </c>
      <c r="D10">
        <v>4</v>
      </c>
    </row>
    <row r="11" spans="1:49" x14ac:dyDescent="0.2">
      <c r="A11" s="14" t="s">
        <v>156</v>
      </c>
      <c r="B11" s="14" t="s">
        <v>157</v>
      </c>
      <c r="C11">
        <v>23</v>
      </c>
      <c r="D11">
        <v>4</v>
      </c>
    </row>
    <row r="12" spans="1:49" x14ac:dyDescent="0.2">
      <c r="A12" s="14" t="s">
        <v>95</v>
      </c>
      <c r="B12" s="14" t="s">
        <v>96</v>
      </c>
      <c r="C12">
        <v>151</v>
      </c>
      <c r="D12">
        <v>2</v>
      </c>
      <c r="H12" s="69"/>
    </row>
    <row r="13" spans="1:49" x14ac:dyDescent="0.2">
      <c r="A13" s="14" t="s">
        <v>74</v>
      </c>
      <c r="B13" s="14" t="s">
        <v>75</v>
      </c>
      <c r="C13">
        <v>24</v>
      </c>
      <c r="D13">
        <v>2</v>
      </c>
      <c r="H13" s="69"/>
    </row>
    <row r="14" spans="1:49" x14ac:dyDescent="0.2">
      <c r="A14" s="14" t="s">
        <v>162</v>
      </c>
      <c r="B14" s="14" t="s">
        <v>163</v>
      </c>
      <c r="C14">
        <v>98</v>
      </c>
      <c r="D14">
        <v>4</v>
      </c>
      <c r="H14" s="69"/>
    </row>
    <row r="15" spans="1:49" x14ac:dyDescent="0.2">
      <c r="A15" s="14" t="s">
        <v>123</v>
      </c>
      <c r="B15" s="14" t="s">
        <v>124</v>
      </c>
      <c r="C15">
        <v>943</v>
      </c>
      <c r="D15">
        <v>3</v>
      </c>
    </row>
    <row r="16" spans="1:49" x14ac:dyDescent="0.2">
      <c r="A16" s="14" t="s">
        <v>133</v>
      </c>
      <c r="B16" s="14" t="s">
        <v>134</v>
      </c>
      <c r="C16">
        <v>332</v>
      </c>
      <c r="D16">
        <v>3</v>
      </c>
    </row>
    <row r="17" spans="1:4" x14ac:dyDescent="0.2">
      <c r="A17" s="14" t="s">
        <v>178</v>
      </c>
      <c r="B17" s="67" t="s">
        <v>179</v>
      </c>
      <c r="D17">
        <v>1</v>
      </c>
    </row>
    <row r="18" spans="1:4" x14ac:dyDescent="0.2">
      <c r="A18" s="14" t="s">
        <v>79</v>
      </c>
      <c r="B18" s="14" t="s">
        <v>80</v>
      </c>
      <c r="C18">
        <v>426</v>
      </c>
      <c r="D18">
        <v>2</v>
      </c>
    </row>
    <row r="19" spans="1:4" x14ac:dyDescent="0.2">
      <c r="A19" s="14" t="s">
        <v>34</v>
      </c>
      <c r="B19" s="14" t="s">
        <v>35</v>
      </c>
      <c r="C19">
        <v>777</v>
      </c>
      <c r="D19">
        <v>1</v>
      </c>
    </row>
    <row r="20" spans="1:4" x14ac:dyDescent="0.2">
      <c r="A20" s="14" t="s">
        <v>137</v>
      </c>
      <c r="B20" s="14" t="s">
        <v>138</v>
      </c>
      <c r="C20">
        <v>236</v>
      </c>
      <c r="D20">
        <v>3</v>
      </c>
    </row>
    <row r="21" spans="1:4" x14ac:dyDescent="0.2">
      <c r="A21" s="14" t="s">
        <v>21</v>
      </c>
      <c r="B21" s="14" t="s">
        <v>359</v>
      </c>
      <c r="C21">
        <v>1293</v>
      </c>
      <c r="D21">
        <v>1</v>
      </c>
    </row>
    <row r="22" spans="1:4" x14ac:dyDescent="0.2">
      <c r="A22" s="14" t="s">
        <v>129</v>
      </c>
      <c r="B22" s="14" t="s">
        <v>130</v>
      </c>
      <c r="C22">
        <v>342</v>
      </c>
      <c r="D22">
        <v>3</v>
      </c>
    </row>
    <row r="23" spans="1:4" x14ac:dyDescent="0.2">
      <c r="A23" s="14" t="s">
        <v>51</v>
      </c>
      <c r="B23" s="14" t="s">
        <v>52</v>
      </c>
      <c r="C23">
        <v>2076</v>
      </c>
      <c r="D23">
        <v>2</v>
      </c>
    </row>
    <row r="24" spans="1:4" x14ac:dyDescent="0.2">
      <c r="A24" s="14" t="s">
        <v>112</v>
      </c>
      <c r="B24" s="14" t="s">
        <v>113</v>
      </c>
      <c r="C24">
        <v>1666</v>
      </c>
      <c r="D24">
        <v>3</v>
      </c>
    </row>
    <row r="25" spans="1:4" x14ac:dyDescent="0.2">
      <c r="A25" s="14" t="s">
        <v>84</v>
      </c>
      <c r="B25" s="14" t="s">
        <v>85</v>
      </c>
      <c r="C25">
        <v>10</v>
      </c>
      <c r="D25">
        <v>2</v>
      </c>
    </row>
    <row r="26" spans="1:4" x14ac:dyDescent="0.2">
      <c r="A26" s="14" t="s">
        <v>99</v>
      </c>
      <c r="B26" s="14" t="s">
        <v>100</v>
      </c>
      <c r="C26">
        <v>36</v>
      </c>
      <c r="D26">
        <v>2</v>
      </c>
    </row>
    <row r="27" spans="1:4" x14ac:dyDescent="0.2">
      <c r="A27" s="14" t="s">
        <v>56</v>
      </c>
      <c r="B27" s="14" t="s">
        <v>57</v>
      </c>
      <c r="C27">
        <v>16</v>
      </c>
      <c r="D27">
        <v>2</v>
      </c>
    </row>
    <row r="28" spans="1:4" x14ac:dyDescent="0.2">
      <c r="A28" s="14" t="s">
        <v>59</v>
      </c>
      <c r="B28" s="14" t="s">
        <v>60</v>
      </c>
      <c r="C28">
        <v>43</v>
      </c>
      <c r="D28">
        <v>2</v>
      </c>
    </row>
    <row r="29" spans="1:4" x14ac:dyDescent="0.2">
      <c r="A29" s="14" t="s">
        <v>61</v>
      </c>
      <c r="B29" s="14" t="s">
        <v>62</v>
      </c>
      <c r="D29">
        <v>2</v>
      </c>
    </row>
    <row r="30" spans="1:4" x14ac:dyDescent="0.2">
      <c r="A30" s="14" t="s">
        <v>172</v>
      </c>
      <c r="B30" s="14" t="s">
        <v>173</v>
      </c>
      <c r="C30">
        <v>85</v>
      </c>
      <c r="D30">
        <v>4</v>
      </c>
    </row>
    <row r="31" spans="1:4" x14ac:dyDescent="0.2">
      <c r="A31" s="14" t="s">
        <v>167</v>
      </c>
      <c r="B31" s="14" t="s">
        <v>168</v>
      </c>
      <c r="C31">
        <v>110</v>
      </c>
      <c r="D31">
        <v>4</v>
      </c>
    </row>
    <row r="32" spans="1:4" x14ac:dyDescent="0.2">
      <c r="A32" s="14" t="s">
        <v>116</v>
      </c>
      <c r="B32" s="14" t="s">
        <v>117</v>
      </c>
      <c r="C32">
        <v>847</v>
      </c>
      <c r="D32">
        <v>3</v>
      </c>
    </row>
    <row r="33" spans="1:10" x14ac:dyDescent="0.2">
      <c r="A33" s="14" t="s">
        <v>141</v>
      </c>
      <c r="B33" s="14" t="s">
        <v>142</v>
      </c>
      <c r="C33">
        <v>208</v>
      </c>
      <c r="D33">
        <v>3</v>
      </c>
    </row>
    <row r="34" spans="1:10" x14ac:dyDescent="0.2">
      <c r="A34" s="14" t="s">
        <v>86</v>
      </c>
      <c r="B34" s="14" t="s">
        <v>87</v>
      </c>
      <c r="C34">
        <v>59</v>
      </c>
      <c r="D34">
        <v>2</v>
      </c>
    </row>
    <row r="35" spans="1:10" x14ac:dyDescent="0.2">
      <c r="A35" s="14" t="s">
        <v>88</v>
      </c>
      <c r="B35" s="14" t="s">
        <v>89</v>
      </c>
      <c r="C35">
        <v>29</v>
      </c>
      <c r="D35">
        <v>2</v>
      </c>
    </row>
    <row r="36" spans="1:10" x14ac:dyDescent="0.2">
      <c r="A36" s="14" t="s">
        <v>90</v>
      </c>
      <c r="B36" s="14" t="s">
        <v>539</v>
      </c>
      <c r="C36">
        <v>1967</v>
      </c>
      <c r="D36">
        <v>2</v>
      </c>
    </row>
    <row r="37" spans="1:10" x14ac:dyDescent="0.2">
      <c r="A37" s="14" t="s">
        <v>103</v>
      </c>
      <c r="B37" s="14" t="s">
        <v>104</v>
      </c>
      <c r="C37">
        <v>571</v>
      </c>
      <c r="D37">
        <v>2</v>
      </c>
    </row>
    <row r="38" spans="1:10" x14ac:dyDescent="0.2">
      <c r="A38" s="14" t="s">
        <v>63</v>
      </c>
      <c r="B38" s="14" t="s">
        <v>540</v>
      </c>
      <c r="C38">
        <v>520</v>
      </c>
      <c r="D38">
        <v>1</v>
      </c>
    </row>
    <row r="39" spans="1:10" x14ac:dyDescent="0.2">
      <c r="A39" s="14" t="s">
        <v>69</v>
      </c>
      <c r="B39" s="14" t="s">
        <v>70</v>
      </c>
      <c r="C39">
        <v>450</v>
      </c>
      <c r="D39">
        <v>2</v>
      </c>
    </row>
    <row r="40" spans="1:10" x14ac:dyDescent="0.2">
      <c r="A40" s="14" t="s">
        <v>170</v>
      </c>
      <c r="B40" s="14" t="s">
        <v>214</v>
      </c>
      <c r="C40">
        <v>4</v>
      </c>
      <c r="D40">
        <v>4</v>
      </c>
    </row>
    <row r="41" spans="1:10" x14ac:dyDescent="0.2">
      <c r="A41" s="14" t="s">
        <v>158</v>
      </c>
      <c r="B41" s="14" t="s">
        <v>159</v>
      </c>
      <c r="C41">
        <v>3507</v>
      </c>
      <c r="D41">
        <v>4</v>
      </c>
    </row>
    <row r="46" spans="1:10" x14ac:dyDescent="0.2">
      <c r="A46"/>
      <c r="B46"/>
      <c r="C46" s="14"/>
      <c r="D46" s="14"/>
      <c r="E46" s="14"/>
      <c r="F46" s="14"/>
      <c r="G46" s="14"/>
      <c r="H46" s="14"/>
      <c r="I46" s="14"/>
      <c r="J46" s="14"/>
    </row>
    <row r="47" spans="1:10" x14ac:dyDescent="0.2">
      <c r="A47"/>
      <c r="B47"/>
      <c r="C47" s="14"/>
      <c r="D47" s="14"/>
      <c r="E47" s="14"/>
      <c r="F47" s="14"/>
      <c r="G47" s="14"/>
      <c r="H47" s="14"/>
      <c r="I47" s="14"/>
      <c r="J47" s="14"/>
    </row>
    <row r="48" spans="1:10" x14ac:dyDescent="0.2">
      <c r="A48"/>
      <c r="B48"/>
      <c r="C48" s="14"/>
      <c r="D48" s="14"/>
      <c r="E48" s="14"/>
      <c r="F48" s="14"/>
      <c r="G48" s="14"/>
      <c r="H48" s="14"/>
      <c r="I48" s="14"/>
      <c r="J48" s="14"/>
    </row>
    <row r="49" spans="1:10" x14ac:dyDescent="0.2">
      <c r="A49"/>
      <c r="B49"/>
      <c r="C49" s="14"/>
      <c r="D49" s="14"/>
      <c r="E49" s="14"/>
      <c r="F49" s="14"/>
      <c r="G49" s="14"/>
      <c r="H49" s="14"/>
      <c r="I49" s="14"/>
      <c r="J49" s="14"/>
    </row>
    <row r="50" spans="1:10" x14ac:dyDescent="0.2">
      <c r="A50"/>
      <c r="B50"/>
      <c r="C50" s="14"/>
      <c r="D50" s="14"/>
      <c r="E50" s="14"/>
      <c r="F50" s="14"/>
      <c r="G50" s="14"/>
      <c r="H50" s="14"/>
      <c r="I50" s="14"/>
      <c r="J50" s="14"/>
    </row>
    <row r="51" spans="1:10" x14ac:dyDescent="0.2">
      <c r="A51"/>
      <c r="B51"/>
      <c r="C51" s="14"/>
      <c r="D51" s="14"/>
      <c r="E51" s="14"/>
      <c r="F51" s="14"/>
      <c r="G51" s="14"/>
      <c r="H51" s="14"/>
      <c r="I51" s="14"/>
      <c r="J51" s="14"/>
    </row>
    <row r="52" spans="1:10" x14ac:dyDescent="0.2">
      <c r="A52"/>
      <c r="B52"/>
      <c r="C52" s="14"/>
      <c r="D52" s="14"/>
      <c r="E52" s="14"/>
      <c r="F52" s="14"/>
      <c r="G52" s="14"/>
      <c r="H52" s="14"/>
      <c r="I52" s="14"/>
      <c r="J52" s="14"/>
    </row>
    <row r="53" spans="1:10" x14ac:dyDescent="0.2">
      <c r="A53"/>
      <c r="B53"/>
      <c r="C53" s="14"/>
      <c r="D53" s="14"/>
      <c r="E53" s="14"/>
      <c r="F53" s="14"/>
      <c r="G53" s="14"/>
      <c r="H53" s="14"/>
      <c r="I53" s="14"/>
      <c r="J53" s="14"/>
    </row>
    <row r="54" spans="1:10" x14ac:dyDescent="0.2">
      <c r="A54"/>
      <c r="B54"/>
      <c r="C54" s="14"/>
      <c r="D54" s="14"/>
      <c r="E54" s="14"/>
      <c r="F54" s="14"/>
      <c r="G54" s="14"/>
      <c r="H54" s="14"/>
      <c r="I54" s="14"/>
      <c r="J54" s="14"/>
    </row>
    <row r="55" spans="1:10" x14ac:dyDescent="0.2">
      <c r="A55"/>
      <c r="B55"/>
      <c r="C55" s="14"/>
      <c r="D55" s="14"/>
      <c r="E55" s="14"/>
      <c r="F55" s="14"/>
      <c r="G55" s="14"/>
      <c r="H55" s="14"/>
      <c r="I55" s="14"/>
      <c r="J55" s="14"/>
    </row>
    <row r="56" spans="1:10" x14ac:dyDescent="0.2">
      <c r="A56"/>
      <c r="B56"/>
      <c r="C56" s="14"/>
      <c r="D56" s="14"/>
      <c r="E56" s="14"/>
      <c r="F56" s="14"/>
      <c r="G56" s="14"/>
      <c r="H56" s="14"/>
      <c r="I56" s="14"/>
      <c r="J56" s="14"/>
    </row>
    <row r="57" spans="1:10" x14ac:dyDescent="0.2">
      <c r="A57"/>
      <c r="B57"/>
      <c r="C57" s="14"/>
      <c r="D57" s="14"/>
      <c r="E57" s="14"/>
      <c r="F57" s="14"/>
      <c r="G57" s="14"/>
      <c r="H57" s="14"/>
      <c r="I57" s="14"/>
      <c r="J57" s="14"/>
    </row>
    <row r="58" spans="1:10" x14ac:dyDescent="0.2">
      <c r="A58"/>
      <c r="B58"/>
      <c r="C58" s="14"/>
      <c r="D58" s="14"/>
      <c r="E58" s="14"/>
      <c r="F58" s="14"/>
      <c r="G58" s="14"/>
      <c r="H58" s="14"/>
      <c r="I58" s="14"/>
      <c r="J58" s="14"/>
    </row>
    <row r="59" spans="1:10" x14ac:dyDescent="0.2">
      <c r="A59"/>
      <c r="B59"/>
      <c r="C59" s="14"/>
      <c r="D59" s="14"/>
      <c r="E59" s="14"/>
      <c r="F59" s="14"/>
      <c r="G59" s="14"/>
      <c r="H59" s="14"/>
      <c r="I59" s="14"/>
      <c r="J59" s="14"/>
    </row>
    <row r="60" spans="1:10" x14ac:dyDescent="0.2">
      <c r="A60"/>
      <c r="B60"/>
      <c r="C60" s="14"/>
      <c r="D60" s="14"/>
      <c r="E60" s="14"/>
      <c r="F60" s="14"/>
      <c r="G60" s="14"/>
      <c r="H60" s="14"/>
      <c r="I60" s="14"/>
      <c r="J60" s="14"/>
    </row>
    <row r="61" spans="1:10" x14ac:dyDescent="0.2">
      <c r="A61"/>
      <c r="B61"/>
      <c r="C61" s="14"/>
      <c r="D61" s="14"/>
      <c r="E61" s="14"/>
      <c r="F61" s="14"/>
      <c r="G61" s="14"/>
      <c r="H61" s="14"/>
      <c r="I61" s="14"/>
      <c r="J61" s="14"/>
    </row>
    <row r="62" spans="1:10" x14ac:dyDescent="0.2">
      <c r="A62"/>
      <c r="B62"/>
      <c r="C62" s="14"/>
      <c r="D62" s="14"/>
      <c r="E62" s="14"/>
      <c r="F62" s="14"/>
      <c r="G62" s="14"/>
      <c r="H62" s="14"/>
      <c r="I62" s="14"/>
      <c r="J62" s="14"/>
    </row>
    <row r="63" spans="1:10" x14ac:dyDescent="0.2">
      <c r="A63"/>
      <c r="B63"/>
      <c r="C63" s="14"/>
      <c r="D63" s="14"/>
      <c r="E63" s="14"/>
      <c r="F63" s="14"/>
      <c r="G63" s="14"/>
      <c r="H63" s="14"/>
      <c r="I63" s="14"/>
      <c r="J63" s="14"/>
    </row>
    <row r="64" spans="1:10" x14ac:dyDescent="0.2">
      <c r="A64"/>
      <c r="B64"/>
      <c r="C64" s="14"/>
      <c r="D64" s="14"/>
      <c r="E64" s="14"/>
      <c r="F64" s="14"/>
      <c r="G64" s="14"/>
      <c r="H64" s="14"/>
      <c r="I64" s="14"/>
      <c r="J64" s="14"/>
    </row>
    <row r="65" spans="1:10" x14ac:dyDescent="0.2">
      <c r="A65"/>
      <c r="B65"/>
      <c r="C65" s="14"/>
      <c r="D65" s="14"/>
      <c r="E65" s="14"/>
      <c r="F65" s="14"/>
      <c r="G65" s="14"/>
      <c r="H65" s="14"/>
      <c r="I65" s="14"/>
      <c r="J65" s="14"/>
    </row>
    <row r="66" spans="1:10" x14ac:dyDescent="0.2">
      <c r="A66"/>
      <c r="B66"/>
      <c r="C66" s="14"/>
      <c r="D66" s="14"/>
      <c r="E66" s="14"/>
      <c r="F66" s="14"/>
      <c r="G66" s="14"/>
      <c r="H66" s="14"/>
      <c r="I66" s="14"/>
      <c r="J66" s="14"/>
    </row>
    <row r="67" spans="1:10" x14ac:dyDescent="0.2">
      <c r="A67"/>
      <c r="B67"/>
      <c r="C67" s="14"/>
      <c r="D67" s="14"/>
      <c r="E67" s="14"/>
      <c r="F67" s="14"/>
      <c r="G67" s="14"/>
      <c r="H67" s="14"/>
      <c r="I67" s="14"/>
      <c r="J67" s="14"/>
    </row>
    <row r="68" spans="1:10" x14ac:dyDescent="0.2">
      <c r="A68"/>
      <c r="B68"/>
      <c r="C68" s="14"/>
      <c r="D68" s="14"/>
      <c r="E68" s="14"/>
      <c r="F68" s="14"/>
      <c r="G68" s="14"/>
      <c r="H68" s="14"/>
      <c r="I68" s="14"/>
      <c r="J68" s="14"/>
    </row>
    <row r="69" spans="1:10" x14ac:dyDescent="0.2">
      <c r="A69"/>
      <c r="B69"/>
      <c r="C69" s="14"/>
      <c r="D69" s="14"/>
      <c r="E69" s="14"/>
      <c r="F69" s="14"/>
      <c r="G69" s="14"/>
      <c r="H69" s="14"/>
      <c r="I69" s="14"/>
      <c r="J69" s="14"/>
    </row>
    <row r="70" spans="1:10" x14ac:dyDescent="0.2">
      <c r="A70"/>
      <c r="B70"/>
      <c r="C70" s="14"/>
      <c r="D70" s="14"/>
      <c r="E70" s="14"/>
      <c r="F70" s="14"/>
      <c r="G70" s="14"/>
      <c r="H70" s="14"/>
      <c r="I70" s="14"/>
      <c r="J70" s="14"/>
    </row>
    <row r="71" spans="1:10" x14ac:dyDescent="0.2">
      <c r="A71"/>
      <c r="B71"/>
      <c r="C71" s="14"/>
      <c r="D71" s="14"/>
      <c r="E71" s="14"/>
      <c r="F71" s="14"/>
      <c r="G71" s="14"/>
      <c r="H71" s="14"/>
      <c r="I71" s="14"/>
      <c r="J71" s="14"/>
    </row>
    <row r="72" spans="1:10" x14ac:dyDescent="0.2">
      <c r="A72"/>
      <c r="B72"/>
      <c r="C72" s="14"/>
      <c r="D72" s="14"/>
      <c r="E72" s="14"/>
      <c r="F72" s="14"/>
      <c r="G72" s="14"/>
      <c r="H72" s="14"/>
      <c r="I72" s="14"/>
      <c r="J72" s="14"/>
    </row>
    <row r="73" spans="1:10" x14ac:dyDescent="0.2">
      <c r="A73"/>
      <c r="B73"/>
      <c r="C73" s="14"/>
      <c r="D73" s="14"/>
      <c r="E73" s="14"/>
      <c r="F73" s="14"/>
      <c r="G73" s="14"/>
      <c r="H73" s="14"/>
      <c r="I73" s="14"/>
      <c r="J73" s="14"/>
    </row>
    <row r="74" spans="1:10" x14ac:dyDescent="0.2">
      <c r="A74"/>
      <c r="B74"/>
      <c r="C74" s="14"/>
      <c r="D74" s="14"/>
      <c r="E74" s="14"/>
      <c r="F74" s="14"/>
      <c r="G74" s="14"/>
      <c r="H74" s="14"/>
      <c r="I74" s="14"/>
      <c r="J74" s="14"/>
    </row>
    <row r="75" spans="1:10" x14ac:dyDescent="0.2">
      <c r="A75"/>
      <c r="B75"/>
      <c r="C75" s="14"/>
      <c r="D75" s="14"/>
      <c r="E75" s="14"/>
      <c r="F75" s="14"/>
      <c r="G75" s="14"/>
      <c r="H75" s="14"/>
      <c r="I75" s="14"/>
      <c r="J75" s="14"/>
    </row>
    <row r="76" spans="1:10" x14ac:dyDescent="0.2">
      <c r="A76"/>
      <c r="B76"/>
      <c r="C76" s="14"/>
      <c r="D76" s="14"/>
      <c r="E76" s="14"/>
      <c r="F76" s="14"/>
      <c r="G76" s="14"/>
      <c r="H76" s="14"/>
      <c r="I76" s="14"/>
      <c r="J76" s="14"/>
    </row>
  </sheetData>
  <autoFilter ref="A1:D41" xr:uid="{14EC98D8-2D8D-4505-B9F8-A5DC3B576F48}">
    <sortState xmlns:xlrd2="http://schemas.microsoft.com/office/spreadsheetml/2017/richdata2" ref="A2:D41">
      <sortCondition ref="A1:A4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A98EC-1C06-485D-BE1F-0D4BE4ACFFA3}">
  <sheetPr>
    <tabColor rgb="FFFA4DC0"/>
  </sheetPr>
  <dimension ref="A2:B8"/>
  <sheetViews>
    <sheetView workbookViewId="0">
      <selection activeCell="U26" sqref="U26"/>
    </sheetView>
  </sheetViews>
  <sheetFormatPr baseColWidth="10" defaultColWidth="8.83203125" defaultRowHeight="15" x14ac:dyDescent="0.2"/>
  <sheetData>
    <row r="2" spans="1:2" x14ac:dyDescent="0.2">
      <c r="A2" t="s">
        <v>541</v>
      </c>
      <c r="B2" t="s">
        <v>542</v>
      </c>
    </row>
    <row r="4" spans="1:2" x14ac:dyDescent="0.2">
      <c r="A4" t="s">
        <v>543</v>
      </c>
      <c r="B4" t="s">
        <v>544</v>
      </c>
    </row>
    <row r="6" spans="1:2" x14ac:dyDescent="0.2">
      <c r="A6" t="s">
        <v>545</v>
      </c>
      <c r="B6" t="s">
        <v>546</v>
      </c>
    </row>
    <row r="8" spans="1:2" x14ac:dyDescent="0.2">
      <c r="A8" t="s">
        <v>547</v>
      </c>
      <c r="B8" t="s">
        <v>548</v>
      </c>
    </row>
  </sheetData>
  <pageMargins left="0.7" right="0.7" top="0.75" bottom="0.75" header="0.3" footer="0.3"/>
</worksheet>
</file>

<file path=docMetadata/LabelInfo.xml><?xml version="1.0" encoding="utf-8"?>
<clbl:labelList xmlns:clbl="http://schemas.microsoft.com/office/2020/mipLabelMetadata">
  <clbl:label id="{03ef5274-90b8-4b3f-8a76-b4c36a43e904}" enabled="1" method="Standard" siteId="{61e6eeb3-5fd7-4aaa-ae3c-61e8deb09b7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Communication Timeline v2</vt:lpstr>
      <vt:lpstr>Portflio</vt:lpstr>
      <vt:lpstr>Communication Timeline v1</vt:lpstr>
      <vt:lpstr>staging</vt:lpstr>
      <vt:lpstr>Corrected dept names</vt:lpstr>
      <vt:lpstr>Dept &amp; Cnt</vt:lpstr>
      <vt:lpstr>Quarterly Rollout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Blake Erickson</dc:creator>
  <cp:keywords/>
  <dc:description/>
  <cp:lastModifiedBy>Glo Phillips</cp:lastModifiedBy>
  <cp:revision/>
  <dcterms:created xsi:type="dcterms:W3CDTF">2025-09-11T21:31:17Z</dcterms:created>
  <dcterms:modified xsi:type="dcterms:W3CDTF">2026-02-11T22:42:33Z</dcterms:modified>
  <cp:category/>
  <cp:contentStatus/>
</cp:coreProperties>
</file>